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kTech\Desktop\mentor folder\"/>
    </mc:Choice>
  </mc:AlternateContent>
  <xr:revisionPtr revIDLastSave="0" documentId="13_ncr:1_{A34DAC49-AD24-4970-A2D7-F113D088995B}" xr6:coauthVersionLast="47" xr6:coauthVersionMax="47" xr10:uidLastSave="{00000000-0000-0000-0000-000000000000}"/>
  <bookViews>
    <workbookView xWindow="-98" yWindow="-98" windowWidth="19396" windowHeight="10276" firstSheet="2" activeTab="3" xr2:uid="{00000000-000D-0000-FFFF-FFFF00000000}"/>
  </bookViews>
  <sheets>
    <sheet name="Naive" sheetId="1" r:id="rId1"/>
    <sheet name="Moving Average" sheetId="2" r:id="rId2"/>
    <sheet name="exponential smooth analysis" sheetId="14" r:id="rId3"/>
    <sheet name="Exponential smoothing " sheetId="3" r:id="rId4"/>
    <sheet name="Linear Forecast" sheetId="4" r:id="rId5"/>
    <sheet name="SLR" sheetId="5" r:id="rId6"/>
  </sheets>
  <definedNames>
    <definedName name="_xlnm._FilterDatabase" localSheetId="3" hidden="1">'Exponential smoothing '!$A$1:$G$1000</definedName>
    <definedName name="_xlnm._FilterDatabase" localSheetId="4" hidden="1">'Linear Forecast'!$A$1:$H$1000</definedName>
    <definedName name="_xlnm._FilterDatabase" localSheetId="1" hidden="1">'Moving Average'!$A$1:$G$1000</definedName>
    <definedName name="_xlnm._FilterDatabase" localSheetId="0" hidden="1">Naive!$A$1:$G$1000</definedName>
    <definedName name="_xlnm._FilterDatabase" localSheetId="5" hidden="1">SLR!$A$1:$K$1000</definedName>
    <definedName name="solver_opt" localSheetId="4">'Linear Forecast'!$D$2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3" l="1"/>
  <c r="K10" i="3"/>
  <c r="K9" i="3"/>
  <c r="K8" i="3"/>
  <c r="D366" i="3"/>
  <c r="E366" i="3" s="1"/>
  <c r="D365" i="3"/>
  <c r="E365" i="3" s="1"/>
  <c r="D364" i="3"/>
  <c r="E364" i="3" s="1"/>
  <c r="G364" i="3" s="1"/>
  <c r="D363" i="3"/>
  <c r="E363" i="3" s="1"/>
  <c r="G363" i="3" s="1"/>
  <c r="D362" i="3"/>
  <c r="E362" i="3" s="1"/>
  <c r="D361" i="3"/>
  <c r="E361" i="3" s="1"/>
  <c r="G361" i="3" s="1"/>
  <c r="E360" i="3"/>
  <c r="D360" i="3"/>
  <c r="D359" i="3"/>
  <c r="E359" i="3" s="1"/>
  <c r="D358" i="3"/>
  <c r="E358" i="3" s="1"/>
  <c r="D357" i="3"/>
  <c r="E357" i="3" s="1"/>
  <c r="D356" i="3"/>
  <c r="E356" i="3" s="1"/>
  <c r="G356" i="3" s="1"/>
  <c r="D355" i="3"/>
  <c r="E355" i="3" s="1"/>
  <c r="D354" i="3"/>
  <c r="E354" i="3" s="1"/>
  <c r="D353" i="3"/>
  <c r="E353" i="3" s="1"/>
  <c r="G353" i="3" s="1"/>
  <c r="D352" i="3"/>
  <c r="E352" i="3" s="1"/>
  <c r="D351" i="3"/>
  <c r="E351" i="3" s="1"/>
  <c r="D350" i="3"/>
  <c r="E350" i="3" s="1"/>
  <c r="D349" i="3"/>
  <c r="E349" i="3" s="1"/>
  <c r="E348" i="3"/>
  <c r="G348" i="3" s="1"/>
  <c r="D348" i="3"/>
  <c r="D347" i="3"/>
  <c r="E347" i="3" s="1"/>
  <c r="G347" i="3" s="1"/>
  <c r="D346" i="3"/>
  <c r="E346" i="3" s="1"/>
  <c r="D345" i="3"/>
  <c r="E345" i="3" s="1"/>
  <c r="G345" i="3" s="1"/>
  <c r="E344" i="3"/>
  <c r="G344" i="3" s="1"/>
  <c r="D344" i="3"/>
  <c r="D343" i="3"/>
  <c r="E343" i="3" s="1"/>
  <c r="D342" i="3"/>
  <c r="E342" i="3" s="1"/>
  <c r="D341" i="3"/>
  <c r="E341" i="3" s="1"/>
  <c r="G341" i="3" s="1"/>
  <c r="D340" i="3"/>
  <c r="E340" i="3" s="1"/>
  <c r="G340" i="3" s="1"/>
  <c r="D339" i="3"/>
  <c r="E339" i="3" s="1"/>
  <c r="G339" i="3" s="1"/>
  <c r="E338" i="3"/>
  <c r="D338" i="3"/>
  <c r="D337" i="3"/>
  <c r="E337" i="3" s="1"/>
  <c r="G337" i="3" s="1"/>
  <c r="D336" i="3"/>
  <c r="E336" i="3" s="1"/>
  <c r="G336" i="3" s="1"/>
  <c r="D335" i="3"/>
  <c r="E335" i="3" s="1"/>
  <c r="D334" i="3"/>
  <c r="E334" i="3" s="1"/>
  <c r="D333" i="3"/>
  <c r="E333" i="3" s="1"/>
  <c r="G333" i="3" s="1"/>
  <c r="E332" i="3"/>
  <c r="G332" i="3" s="1"/>
  <c r="D332" i="3"/>
  <c r="D331" i="3"/>
  <c r="E331" i="3" s="1"/>
  <c r="G331" i="3" s="1"/>
  <c r="D330" i="3"/>
  <c r="E330" i="3" s="1"/>
  <c r="D329" i="3"/>
  <c r="E329" i="3" s="1"/>
  <c r="G329" i="3" s="1"/>
  <c r="D328" i="3"/>
  <c r="E328" i="3" s="1"/>
  <c r="G328" i="3" s="1"/>
  <c r="D327" i="3"/>
  <c r="E327" i="3" s="1"/>
  <c r="D326" i="3"/>
  <c r="E326" i="3" s="1"/>
  <c r="D325" i="3"/>
  <c r="E325" i="3" s="1"/>
  <c r="D324" i="3"/>
  <c r="E324" i="3" s="1"/>
  <c r="G324" i="3" s="1"/>
  <c r="D323" i="3"/>
  <c r="E323" i="3" s="1"/>
  <c r="D322" i="3"/>
  <c r="E322" i="3" s="1"/>
  <c r="D321" i="3"/>
  <c r="E321" i="3" s="1"/>
  <c r="G321" i="3" s="1"/>
  <c r="D320" i="3"/>
  <c r="E320" i="3" s="1"/>
  <c r="G320" i="3" s="1"/>
  <c r="D319" i="3"/>
  <c r="E319" i="3" s="1"/>
  <c r="D318" i="3"/>
  <c r="E318" i="3" s="1"/>
  <c r="D317" i="3"/>
  <c r="E317" i="3" s="1"/>
  <c r="G317" i="3" s="1"/>
  <c r="D316" i="3"/>
  <c r="E316" i="3" s="1"/>
  <c r="G316" i="3" s="1"/>
  <c r="D315" i="3"/>
  <c r="E315" i="3" s="1"/>
  <c r="G315" i="3" s="1"/>
  <c r="D314" i="3"/>
  <c r="E314" i="3" s="1"/>
  <c r="D313" i="3"/>
  <c r="E313" i="3" s="1"/>
  <c r="G313" i="3" s="1"/>
  <c r="D312" i="3"/>
  <c r="E312" i="3" s="1"/>
  <c r="D311" i="3"/>
  <c r="E311" i="3" s="1"/>
  <c r="D310" i="3"/>
  <c r="E310" i="3" s="1"/>
  <c r="D309" i="3"/>
  <c r="E309" i="3" s="1"/>
  <c r="G309" i="3" s="1"/>
  <c r="E308" i="3"/>
  <c r="G308" i="3" s="1"/>
  <c r="D308" i="3"/>
  <c r="D307" i="3"/>
  <c r="E307" i="3" s="1"/>
  <c r="G307" i="3" s="1"/>
  <c r="D306" i="3"/>
  <c r="E306" i="3" s="1"/>
  <c r="D305" i="3"/>
  <c r="E305" i="3" s="1"/>
  <c r="G305" i="3" s="1"/>
  <c r="E304" i="3"/>
  <c r="G304" i="3" s="1"/>
  <c r="D304" i="3"/>
  <c r="D303" i="3"/>
  <c r="E303" i="3" s="1"/>
  <c r="D302" i="3"/>
  <c r="E302" i="3" s="1"/>
  <c r="D301" i="3"/>
  <c r="E301" i="3" s="1"/>
  <c r="G301" i="3" s="1"/>
  <c r="D300" i="3"/>
  <c r="E300" i="3" s="1"/>
  <c r="G300" i="3" s="1"/>
  <c r="D299" i="3"/>
  <c r="E299" i="3" s="1"/>
  <c r="G299" i="3" s="1"/>
  <c r="D298" i="3"/>
  <c r="E298" i="3" s="1"/>
  <c r="D297" i="3"/>
  <c r="E297" i="3" s="1"/>
  <c r="G297" i="3" s="1"/>
  <c r="E296" i="3"/>
  <c r="G296" i="3" s="1"/>
  <c r="D296" i="3"/>
  <c r="D295" i="3"/>
  <c r="E295" i="3" s="1"/>
  <c r="D294" i="3"/>
  <c r="E294" i="3" s="1"/>
  <c r="F293" i="3"/>
  <c r="D293" i="3"/>
  <c r="E293" i="3" s="1"/>
  <c r="G293" i="3" s="1"/>
  <c r="E292" i="3"/>
  <c r="G292" i="3" s="1"/>
  <c r="D292" i="3"/>
  <c r="F291" i="3"/>
  <c r="D291" i="3"/>
  <c r="E291" i="3" s="1"/>
  <c r="G291" i="3" s="1"/>
  <c r="D290" i="3"/>
  <c r="E290" i="3" s="1"/>
  <c r="D289" i="3"/>
  <c r="E289" i="3" s="1"/>
  <c r="G289" i="3" s="1"/>
  <c r="E288" i="3"/>
  <c r="G288" i="3" s="1"/>
  <c r="D288" i="3"/>
  <c r="E287" i="3"/>
  <c r="D287" i="3"/>
  <c r="D286" i="3"/>
  <c r="E286" i="3" s="1"/>
  <c r="D285" i="3"/>
  <c r="E285" i="3" s="1"/>
  <c r="G285" i="3" s="1"/>
  <c r="E284" i="3"/>
  <c r="G284" i="3" s="1"/>
  <c r="D284" i="3"/>
  <c r="D283" i="3"/>
  <c r="E283" i="3" s="1"/>
  <c r="G283" i="3" s="1"/>
  <c r="D282" i="3"/>
  <c r="E282" i="3" s="1"/>
  <c r="D281" i="3"/>
  <c r="E281" i="3" s="1"/>
  <c r="D280" i="3"/>
  <c r="E280" i="3" s="1"/>
  <c r="D279" i="3"/>
  <c r="E279" i="3" s="1"/>
  <c r="F279" i="3" s="1"/>
  <c r="D278" i="3"/>
  <c r="E278" i="3" s="1"/>
  <c r="D277" i="3"/>
  <c r="E277" i="3" s="1"/>
  <c r="D276" i="3"/>
  <c r="E276" i="3" s="1"/>
  <c r="F276" i="3" s="1"/>
  <c r="D275" i="3"/>
  <c r="E275" i="3" s="1"/>
  <c r="F275" i="3" s="1"/>
  <c r="D274" i="3"/>
  <c r="E274" i="3" s="1"/>
  <c r="D273" i="3"/>
  <c r="E273" i="3" s="1"/>
  <c r="D272" i="3"/>
  <c r="E272" i="3" s="1"/>
  <c r="D271" i="3"/>
  <c r="E271" i="3" s="1"/>
  <c r="F271" i="3" s="1"/>
  <c r="D270" i="3"/>
  <c r="E270" i="3" s="1"/>
  <c r="D269" i="3"/>
  <c r="E269" i="3" s="1"/>
  <c r="D268" i="3"/>
  <c r="E268" i="3" s="1"/>
  <c r="F268" i="3" s="1"/>
  <c r="D267" i="3"/>
  <c r="E267" i="3" s="1"/>
  <c r="F267" i="3" s="1"/>
  <c r="D266" i="3"/>
  <c r="E266" i="3" s="1"/>
  <c r="D265" i="3"/>
  <c r="E265" i="3" s="1"/>
  <c r="D264" i="3"/>
  <c r="E264" i="3" s="1"/>
  <c r="D263" i="3"/>
  <c r="E263" i="3" s="1"/>
  <c r="F263" i="3" s="1"/>
  <c r="D262" i="3"/>
  <c r="E262" i="3" s="1"/>
  <c r="D261" i="3"/>
  <c r="E261" i="3" s="1"/>
  <c r="D260" i="3"/>
  <c r="E260" i="3" s="1"/>
  <c r="F260" i="3" s="1"/>
  <c r="D259" i="3"/>
  <c r="E259" i="3" s="1"/>
  <c r="F259" i="3" s="1"/>
  <c r="D258" i="3"/>
  <c r="E258" i="3" s="1"/>
  <c r="D257" i="3"/>
  <c r="E257" i="3" s="1"/>
  <c r="D256" i="3"/>
  <c r="E256" i="3" s="1"/>
  <c r="D255" i="3"/>
  <c r="E255" i="3" s="1"/>
  <c r="F255" i="3" s="1"/>
  <c r="D254" i="3"/>
  <c r="E254" i="3" s="1"/>
  <c r="D253" i="3"/>
  <c r="E253" i="3" s="1"/>
  <c r="D252" i="3"/>
  <c r="E252" i="3" s="1"/>
  <c r="F252" i="3" s="1"/>
  <c r="D251" i="3"/>
  <c r="E251" i="3" s="1"/>
  <c r="F251" i="3" s="1"/>
  <c r="D250" i="3"/>
  <c r="E250" i="3" s="1"/>
  <c r="D249" i="3"/>
  <c r="E249" i="3" s="1"/>
  <c r="D248" i="3"/>
  <c r="E248" i="3" s="1"/>
  <c r="D247" i="3"/>
  <c r="E247" i="3" s="1"/>
  <c r="F247" i="3" s="1"/>
  <c r="D246" i="3"/>
  <c r="E246" i="3" s="1"/>
  <c r="D245" i="3"/>
  <c r="E245" i="3" s="1"/>
  <c r="D244" i="3"/>
  <c r="E244" i="3" s="1"/>
  <c r="F244" i="3" s="1"/>
  <c r="D243" i="3"/>
  <c r="E243" i="3" s="1"/>
  <c r="F243" i="3" s="1"/>
  <c r="D242" i="3"/>
  <c r="E242" i="3" s="1"/>
  <c r="D241" i="3"/>
  <c r="E241" i="3" s="1"/>
  <c r="D240" i="3"/>
  <c r="E240" i="3" s="1"/>
  <c r="D239" i="3"/>
  <c r="E239" i="3" s="1"/>
  <c r="F239" i="3" s="1"/>
  <c r="D238" i="3"/>
  <c r="E238" i="3" s="1"/>
  <c r="D237" i="3"/>
  <c r="E237" i="3" s="1"/>
  <c r="D236" i="3"/>
  <c r="E236" i="3" s="1"/>
  <c r="F236" i="3" s="1"/>
  <c r="D235" i="3"/>
  <c r="E235" i="3" s="1"/>
  <c r="F235" i="3" s="1"/>
  <c r="D234" i="3"/>
  <c r="E234" i="3" s="1"/>
  <c r="D233" i="3"/>
  <c r="E233" i="3" s="1"/>
  <c r="D232" i="3"/>
  <c r="E232" i="3" s="1"/>
  <c r="D231" i="3"/>
  <c r="E231" i="3" s="1"/>
  <c r="F231" i="3" s="1"/>
  <c r="D230" i="3"/>
  <c r="E230" i="3" s="1"/>
  <c r="D229" i="3"/>
  <c r="E229" i="3" s="1"/>
  <c r="D228" i="3"/>
  <c r="E228" i="3" s="1"/>
  <c r="F228" i="3" s="1"/>
  <c r="D227" i="3"/>
  <c r="E227" i="3" s="1"/>
  <c r="F227" i="3" s="1"/>
  <c r="D226" i="3"/>
  <c r="E226" i="3" s="1"/>
  <c r="D225" i="3"/>
  <c r="E225" i="3" s="1"/>
  <c r="D224" i="3"/>
  <c r="E224" i="3" s="1"/>
  <c r="D223" i="3"/>
  <c r="E223" i="3" s="1"/>
  <c r="F223" i="3" s="1"/>
  <c r="D222" i="3"/>
  <c r="E222" i="3" s="1"/>
  <c r="D221" i="3"/>
  <c r="E221" i="3" s="1"/>
  <c r="G220" i="3"/>
  <c r="D220" i="3"/>
  <c r="E220" i="3" s="1"/>
  <c r="F220" i="3" s="1"/>
  <c r="D219" i="3"/>
  <c r="E219" i="3" s="1"/>
  <c r="F219" i="3" s="1"/>
  <c r="D218" i="3"/>
  <c r="E218" i="3" s="1"/>
  <c r="D217" i="3"/>
  <c r="E217" i="3" s="1"/>
  <c r="D216" i="3"/>
  <c r="E216" i="3" s="1"/>
  <c r="E215" i="3"/>
  <c r="F215" i="3" s="1"/>
  <c r="D215" i="3"/>
  <c r="D214" i="3"/>
  <c r="E214" i="3" s="1"/>
  <c r="D213" i="3"/>
  <c r="E213" i="3" s="1"/>
  <c r="G212" i="3"/>
  <c r="D212" i="3"/>
  <c r="E212" i="3" s="1"/>
  <c r="F212" i="3" s="1"/>
  <c r="D211" i="3"/>
  <c r="E211" i="3" s="1"/>
  <c r="F211" i="3" s="1"/>
  <c r="D210" i="3"/>
  <c r="E210" i="3" s="1"/>
  <c r="D209" i="3"/>
  <c r="E209" i="3" s="1"/>
  <c r="D208" i="3"/>
  <c r="E208" i="3" s="1"/>
  <c r="E207" i="3"/>
  <c r="F207" i="3" s="1"/>
  <c r="D207" i="3"/>
  <c r="D206" i="3"/>
  <c r="E206" i="3" s="1"/>
  <c r="D205" i="3"/>
  <c r="E205" i="3" s="1"/>
  <c r="G204" i="3"/>
  <c r="D204" i="3"/>
  <c r="E204" i="3" s="1"/>
  <c r="F204" i="3" s="1"/>
  <c r="D203" i="3"/>
  <c r="E203" i="3" s="1"/>
  <c r="F203" i="3" s="1"/>
  <c r="D202" i="3"/>
  <c r="E202" i="3" s="1"/>
  <c r="D201" i="3"/>
  <c r="E201" i="3" s="1"/>
  <c r="D200" i="3"/>
  <c r="E200" i="3" s="1"/>
  <c r="E199" i="3"/>
  <c r="F199" i="3" s="1"/>
  <c r="D199" i="3"/>
  <c r="D198" i="3"/>
  <c r="E198" i="3" s="1"/>
  <c r="D197" i="3"/>
  <c r="E197" i="3" s="1"/>
  <c r="G196" i="3"/>
  <c r="D196" i="3"/>
  <c r="E196" i="3" s="1"/>
  <c r="F196" i="3" s="1"/>
  <c r="D195" i="3"/>
  <c r="E195" i="3" s="1"/>
  <c r="F195" i="3" s="1"/>
  <c r="D194" i="3"/>
  <c r="E194" i="3" s="1"/>
  <c r="D193" i="3"/>
  <c r="E193" i="3" s="1"/>
  <c r="D192" i="3"/>
  <c r="E192" i="3" s="1"/>
  <c r="E191" i="3"/>
  <c r="F191" i="3" s="1"/>
  <c r="D191" i="3"/>
  <c r="D190" i="3"/>
  <c r="E190" i="3" s="1"/>
  <c r="D189" i="3"/>
  <c r="E189" i="3" s="1"/>
  <c r="G188" i="3"/>
  <c r="D188" i="3"/>
  <c r="E188" i="3" s="1"/>
  <c r="F188" i="3" s="1"/>
  <c r="D187" i="3"/>
  <c r="E187" i="3" s="1"/>
  <c r="F187" i="3" s="1"/>
  <c r="D186" i="3"/>
  <c r="E186" i="3" s="1"/>
  <c r="D185" i="3"/>
  <c r="E185" i="3" s="1"/>
  <c r="D184" i="3"/>
  <c r="E184" i="3" s="1"/>
  <c r="E183" i="3"/>
  <c r="F183" i="3" s="1"/>
  <c r="D183" i="3"/>
  <c r="D182" i="3"/>
  <c r="E182" i="3" s="1"/>
  <c r="D181" i="3"/>
  <c r="E181" i="3" s="1"/>
  <c r="G180" i="3"/>
  <c r="D180" i="3"/>
  <c r="E180" i="3" s="1"/>
  <c r="F180" i="3" s="1"/>
  <c r="D179" i="3"/>
  <c r="E179" i="3" s="1"/>
  <c r="F179" i="3" s="1"/>
  <c r="D178" i="3"/>
  <c r="E178" i="3" s="1"/>
  <c r="D177" i="3"/>
  <c r="E177" i="3" s="1"/>
  <c r="D176" i="3"/>
  <c r="E176" i="3" s="1"/>
  <c r="E175" i="3"/>
  <c r="F175" i="3" s="1"/>
  <c r="D175" i="3"/>
  <c r="D174" i="3"/>
  <c r="E174" i="3" s="1"/>
  <c r="D173" i="3"/>
  <c r="E173" i="3" s="1"/>
  <c r="G172" i="3"/>
  <c r="D172" i="3"/>
  <c r="E172" i="3" s="1"/>
  <c r="F172" i="3" s="1"/>
  <c r="D171" i="3"/>
  <c r="E171" i="3" s="1"/>
  <c r="F171" i="3" s="1"/>
  <c r="D170" i="3"/>
  <c r="E170" i="3" s="1"/>
  <c r="D169" i="3"/>
  <c r="E169" i="3" s="1"/>
  <c r="D168" i="3"/>
  <c r="E168" i="3" s="1"/>
  <c r="E167" i="3"/>
  <c r="F167" i="3" s="1"/>
  <c r="D167" i="3"/>
  <c r="D166" i="3"/>
  <c r="E166" i="3" s="1"/>
  <c r="D165" i="3"/>
  <c r="E165" i="3" s="1"/>
  <c r="G164" i="3"/>
  <c r="D164" i="3"/>
  <c r="E164" i="3" s="1"/>
  <c r="F164" i="3" s="1"/>
  <c r="D163" i="3"/>
  <c r="E163" i="3" s="1"/>
  <c r="F163" i="3" s="1"/>
  <c r="D162" i="3"/>
  <c r="E162" i="3" s="1"/>
  <c r="D161" i="3"/>
  <c r="E161" i="3" s="1"/>
  <c r="D160" i="3"/>
  <c r="E160" i="3" s="1"/>
  <c r="E159" i="3"/>
  <c r="F159" i="3" s="1"/>
  <c r="D159" i="3"/>
  <c r="D158" i="3"/>
  <c r="E158" i="3" s="1"/>
  <c r="D157" i="3"/>
  <c r="E157" i="3" s="1"/>
  <c r="G156" i="3"/>
  <c r="D156" i="3"/>
  <c r="E156" i="3" s="1"/>
  <c r="F156" i="3" s="1"/>
  <c r="D155" i="3"/>
  <c r="E155" i="3" s="1"/>
  <c r="F155" i="3" s="1"/>
  <c r="E154" i="3"/>
  <c r="G154" i="3" s="1"/>
  <c r="D154" i="3"/>
  <c r="E153" i="3"/>
  <c r="D153" i="3"/>
  <c r="E152" i="3"/>
  <c r="G152" i="3" s="1"/>
  <c r="D152" i="3"/>
  <c r="E151" i="3"/>
  <c r="G151" i="3" s="1"/>
  <c r="D151" i="3"/>
  <c r="E150" i="3"/>
  <c r="G150" i="3" s="1"/>
  <c r="D150" i="3"/>
  <c r="F149" i="3"/>
  <c r="E149" i="3"/>
  <c r="G149" i="3" s="1"/>
  <c r="D149" i="3"/>
  <c r="D148" i="3"/>
  <c r="E148" i="3" s="1"/>
  <c r="G148" i="3" s="1"/>
  <c r="E147" i="3"/>
  <c r="G147" i="3" s="1"/>
  <c r="D147" i="3"/>
  <c r="D146" i="3"/>
  <c r="E146" i="3" s="1"/>
  <c r="G146" i="3" s="1"/>
  <c r="F145" i="3"/>
  <c r="E145" i="3"/>
  <c r="G145" i="3" s="1"/>
  <c r="D145" i="3"/>
  <c r="E144" i="3"/>
  <c r="G144" i="3" s="1"/>
  <c r="D144" i="3"/>
  <c r="E143" i="3"/>
  <c r="G143" i="3" s="1"/>
  <c r="D143" i="3"/>
  <c r="E142" i="3"/>
  <c r="G142" i="3" s="1"/>
  <c r="D142" i="3"/>
  <c r="D141" i="3"/>
  <c r="E141" i="3" s="1"/>
  <c r="E140" i="3"/>
  <c r="G140" i="3" s="1"/>
  <c r="D140" i="3"/>
  <c r="D139" i="3"/>
  <c r="E139" i="3" s="1"/>
  <c r="G139" i="3" s="1"/>
  <c r="E138" i="3"/>
  <c r="G138" i="3" s="1"/>
  <c r="D138" i="3"/>
  <c r="E137" i="3"/>
  <c r="D137" i="3"/>
  <c r="E136" i="3"/>
  <c r="G136" i="3" s="1"/>
  <c r="D136" i="3"/>
  <c r="E135" i="3"/>
  <c r="G135" i="3" s="1"/>
  <c r="D135" i="3"/>
  <c r="E134" i="3"/>
  <c r="G134" i="3" s="1"/>
  <c r="D134" i="3"/>
  <c r="F133" i="3"/>
  <c r="E133" i="3"/>
  <c r="G133" i="3" s="1"/>
  <c r="D133" i="3"/>
  <c r="D132" i="3"/>
  <c r="E132" i="3" s="1"/>
  <c r="G132" i="3" s="1"/>
  <c r="E131" i="3"/>
  <c r="G131" i="3" s="1"/>
  <c r="D131" i="3"/>
  <c r="D130" i="3"/>
  <c r="E130" i="3" s="1"/>
  <c r="G130" i="3" s="1"/>
  <c r="F129" i="3"/>
  <c r="E129" i="3"/>
  <c r="G129" i="3" s="1"/>
  <c r="D129" i="3"/>
  <c r="E128" i="3"/>
  <c r="G128" i="3" s="1"/>
  <c r="D128" i="3"/>
  <c r="E127" i="3"/>
  <c r="G127" i="3" s="1"/>
  <c r="D127" i="3"/>
  <c r="E126" i="3"/>
  <c r="G126" i="3" s="1"/>
  <c r="D126" i="3"/>
  <c r="D125" i="3"/>
  <c r="E125" i="3" s="1"/>
  <c r="E124" i="3"/>
  <c r="G124" i="3" s="1"/>
  <c r="D124" i="3"/>
  <c r="D123" i="3"/>
  <c r="E123" i="3" s="1"/>
  <c r="G123" i="3" s="1"/>
  <c r="E122" i="3"/>
  <c r="G122" i="3" s="1"/>
  <c r="D122" i="3"/>
  <c r="E121" i="3"/>
  <c r="D121" i="3"/>
  <c r="E120" i="3"/>
  <c r="G120" i="3" s="1"/>
  <c r="D120" i="3"/>
  <c r="E119" i="3"/>
  <c r="G119" i="3" s="1"/>
  <c r="D119" i="3"/>
  <c r="E118" i="3"/>
  <c r="G118" i="3" s="1"/>
  <c r="D118" i="3"/>
  <c r="F117" i="3"/>
  <c r="E117" i="3"/>
  <c r="G117" i="3" s="1"/>
  <c r="D117" i="3"/>
  <c r="D116" i="3"/>
  <c r="E116" i="3" s="1"/>
  <c r="G116" i="3" s="1"/>
  <c r="E115" i="3"/>
  <c r="G115" i="3" s="1"/>
  <c r="D115" i="3"/>
  <c r="D114" i="3"/>
  <c r="E114" i="3" s="1"/>
  <c r="G114" i="3" s="1"/>
  <c r="F113" i="3"/>
  <c r="E113" i="3"/>
  <c r="G113" i="3" s="1"/>
  <c r="D113" i="3"/>
  <c r="E112" i="3"/>
  <c r="G112" i="3" s="1"/>
  <c r="D112" i="3"/>
  <c r="E111" i="3"/>
  <c r="G111" i="3" s="1"/>
  <c r="D111" i="3"/>
  <c r="E110" i="3"/>
  <c r="G110" i="3" s="1"/>
  <c r="D110" i="3"/>
  <c r="D109" i="3"/>
  <c r="E109" i="3" s="1"/>
  <c r="E108" i="3"/>
  <c r="G108" i="3" s="1"/>
  <c r="D108" i="3"/>
  <c r="D107" i="3"/>
  <c r="E107" i="3" s="1"/>
  <c r="G107" i="3" s="1"/>
  <c r="E106" i="3"/>
  <c r="G106" i="3" s="1"/>
  <c r="D106" i="3"/>
  <c r="E105" i="3"/>
  <c r="D105" i="3"/>
  <c r="E104" i="3"/>
  <c r="G104" i="3" s="1"/>
  <c r="D104" i="3"/>
  <c r="E103" i="3"/>
  <c r="G103" i="3" s="1"/>
  <c r="D103" i="3"/>
  <c r="E102" i="3"/>
  <c r="G102" i="3" s="1"/>
  <c r="D102" i="3"/>
  <c r="F101" i="3"/>
  <c r="E101" i="3"/>
  <c r="G101" i="3" s="1"/>
  <c r="D101" i="3"/>
  <c r="D100" i="3"/>
  <c r="E100" i="3" s="1"/>
  <c r="G100" i="3" s="1"/>
  <c r="E99" i="3"/>
  <c r="G99" i="3" s="1"/>
  <c r="D99" i="3"/>
  <c r="D98" i="3"/>
  <c r="E98" i="3" s="1"/>
  <c r="G98" i="3" s="1"/>
  <c r="F97" i="3"/>
  <c r="E97" i="3"/>
  <c r="G97" i="3" s="1"/>
  <c r="D97" i="3"/>
  <c r="E96" i="3"/>
  <c r="G96" i="3" s="1"/>
  <c r="D96" i="3"/>
  <c r="E95" i="3"/>
  <c r="G95" i="3" s="1"/>
  <c r="D95" i="3"/>
  <c r="E94" i="3"/>
  <c r="G94" i="3" s="1"/>
  <c r="D94" i="3"/>
  <c r="D93" i="3"/>
  <c r="E93" i="3" s="1"/>
  <c r="E92" i="3"/>
  <c r="G92" i="3" s="1"/>
  <c r="D92" i="3"/>
  <c r="D91" i="3"/>
  <c r="E91" i="3" s="1"/>
  <c r="G91" i="3" s="1"/>
  <c r="E90" i="3"/>
  <c r="G90" i="3" s="1"/>
  <c r="D90" i="3"/>
  <c r="E89" i="3"/>
  <c r="D89" i="3"/>
  <c r="E88" i="3"/>
  <c r="G88" i="3" s="1"/>
  <c r="D88" i="3"/>
  <c r="E87" i="3"/>
  <c r="G87" i="3" s="1"/>
  <c r="D87" i="3"/>
  <c r="E86" i="3"/>
  <c r="G86" i="3" s="1"/>
  <c r="D86" i="3"/>
  <c r="F85" i="3"/>
  <c r="E85" i="3"/>
  <c r="G85" i="3" s="1"/>
  <c r="D85" i="3"/>
  <c r="D84" i="3"/>
  <c r="E84" i="3" s="1"/>
  <c r="G84" i="3" s="1"/>
  <c r="E83" i="3"/>
  <c r="G83" i="3" s="1"/>
  <c r="D83" i="3"/>
  <c r="D82" i="3"/>
  <c r="E82" i="3" s="1"/>
  <c r="G82" i="3" s="1"/>
  <c r="F81" i="3"/>
  <c r="E81" i="3"/>
  <c r="G81" i="3" s="1"/>
  <c r="D81" i="3"/>
  <c r="E80" i="3"/>
  <c r="G80" i="3" s="1"/>
  <c r="D80" i="3"/>
  <c r="E79" i="3"/>
  <c r="G79" i="3" s="1"/>
  <c r="D79" i="3"/>
  <c r="E78" i="3"/>
  <c r="G78" i="3" s="1"/>
  <c r="D78" i="3"/>
  <c r="D77" i="3"/>
  <c r="E77" i="3" s="1"/>
  <c r="E76" i="3"/>
  <c r="G76" i="3" s="1"/>
  <c r="D76" i="3"/>
  <c r="D75" i="3"/>
  <c r="E75" i="3" s="1"/>
  <c r="G75" i="3" s="1"/>
  <c r="E74" i="3"/>
  <c r="G74" i="3" s="1"/>
  <c r="D74" i="3"/>
  <c r="E73" i="3"/>
  <c r="D73" i="3"/>
  <c r="E72" i="3"/>
  <c r="G72" i="3" s="1"/>
  <c r="D72" i="3"/>
  <c r="E71" i="3"/>
  <c r="G71" i="3" s="1"/>
  <c r="D71" i="3"/>
  <c r="E70" i="3"/>
  <c r="G70" i="3" s="1"/>
  <c r="D70" i="3"/>
  <c r="F69" i="3"/>
  <c r="E69" i="3"/>
  <c r="G69" i="3" s="1"/>
  <c r="D69" i="3"/>
  <c r="D68" i="3"/>
  <c r="E68" i="3" s="1"/>
  <c r="G68" i="3" s="1"/>
  <c r="E67" i="3"/>
  <c r="G67" i="3" s="1"/>
  <c r="D67" i="3"/>
  <c r="D66" i="3"/>
  <c r="E66" i="3" s="1"/>
  <c r="G66" i="3" s="1"/>
  <c r="F65" i="3"/>
  <c r="E65" i="3"/>
  <c r="G65" i="3" s="1"/>
  <c r="D65" i="3"/>
  <c r="E64" i="3"/>
  <c r="G64" i="3" s="1"/>
  <c r="D64" i="3"/>
  <c r="E63" i="3"/>
  <c r="G63" i="3" s="1"/>
  <c r="D63" i="3"/>
  <c r="E62" i="3"/>
  <c r="G62" i="3" s="1"/>
  <c r="D62" i="3"/>
  <c r="D61" i="3"/>
  <c r="E61" i="3" s="1"/>
  <c r="E60" i="3"/>
  <c r="G60" i="3" s="1"/>
  <c r="D60" i="3"/>
  <c r="D59" i="3"/>
  <c r="E59" i="3" s="1"/>
  <c r="G59" i="3" s="1"/>
  <c r="E58" i="3"/>
  <c r="G58" i="3" s="1"/>
  <c r="D58" i="3"/>
  <c r="D57" i="3"/>
  <c r="E57" i="3" s="1"/>
  <c r="E56" i="3"/>
  <c r="G56" i="3" s="1"/>
  <c r="D56" i="3"/>
  <c r="D55" i="3"/>
  <c r="E55" i="3" s="1"/>
  <c r="G55" i="3" s="1"/>
  <c r="E54" i="3"/>
  <c r="G54" i="3" s="1"/>
  <c r="D54" i="3"/>
  <c r="E53" i="3"/>
  <c r="G53" i="3" s="1"/>
  <c r="D53" i="3"/>
  <c r="D52" i="3"/>
  <c r="E52" i="3" s="1"/>
  <c r="G52" i="3" s="1"/>
  <c r="E51" i="3"/>
  <c r="G51" i="3" s="1"/>
  <c r="D51" i="3"/>
  <c r="D50" i="3"/>
  <c r="E50" i="3" s="1"/>
  <c r="G50" i="3" s="1"/>
  <c r="F49" i="3"/>
  <c r="E49" i="3"/>
  <c r="G49" i="3" s="1"/>
  <c r="D49" i="3"/>
  <c r="E48" i="3"/>
  <c r="G48" i="3" s="1"/>
  <c r="D48" i="3"/>
  <c r="E47" i="3"/>
  <c r="G47" i="3" s="1"/>
  <c r="D47" i="3"/>
  <c r="E46" i="3"/>
  <c r="G46" i="3" s="1"/>
  <c r="D46" i="3"/>
  <c r="D45" i="3"/>
  <c r="E45" i="3" s="1"/>
  <c r="G45" i="3" s="1"/>
  <c r="E44" i="3"/>
  <c r="G44" i="3" s="1"/>
  <c r="D44" i="3"/>
  <c r="D43" i="3"/>
  <c r="E43" i="3" s="1"/>
  <c r="G43" i="3" s="1"/>
  <c r="E42" i="3"/>
  <c r="G42" i="3" s="1"/>
  <c r="D42" i="3"/>
  <c r="D41" i="3"/>
  <c r="E41" i="3" s="1"/>
  <c r="E40" i="3"/>
  <c r="G40" i="3" s="1"/>
  <c r="D40" i="3"/>
  <c r="D39" i="3"/>
  <c r="E39" i="3" s="1"/>
  <c r="G39" i="3" s="1"/>
  <c r="E38" i="3"/>
  <c r="G38" i="3" s="1"/>
  <c r="D38" i="3"/>
  <c r="D37" i="3"/>
  <c r="E37" i="3" s="1"/>
  <c r="D36" i="3"/>
  <c r="E36" i="3" s="1"/>
  <c r="G36" i="3" s="1"/>
  <c r="D35" i="3"/>
  <c r="E35" i="3" s="1"/>
  <c r="G35" i="3" s="1"/>
  <c r="D34" i="3"/>
  <c r="E34" i="3" s="1"/>
  <c r="G34" i="3" s="1"/>
  <c r="F33" i="3"/>
  <c r="E33" i="3"/>
  <c r="G33" i="3" s="1"/>
  <c r="D33" i="3"/>
  <c r="E32" i="3"/>
  <c r="G32" i="3" s="1"/>
  <c r="D32" i="3"/>
  <c r="E31" i="3"/>
  <c r="G31" i="3" s="1"/>
  <c r="D31" i="3"/>
  <c r="E30" i="3"/>
  <c r="G30" i="3" s="1"/>
  <c r="D30" i="3"/>
  <c r="D29" i="3"/>
  <c r="E29" i="3" s="1"/>
  <c r="G29" i="3" s="1"/>
  <c r="E28" i="3"/>
  <c r="G28" i="3" s="1"/>
  <c r="D28" i="3"/>
  <c r="D27" i="3"/>
  <c r="E27" i="3" s="1"/>
  <c r="G27" i="3" s="1"/>
  <c r="D26" i="3"/>
  <c r="E26" i="3" s="1"/>
  <c r="G26" i="3" s="1"/>
  <c r="E25" i="3"/>
  <c r="D25" i="3"/>
  <c r="D24" i="3"/>
  <c r="E24" i="3" s="1"/>
  <c r="G24" i="3" s="1"/>
  <c r="E23" i="3"/>
  <c r="G23" i="3" s="1"/>
  <c r="D23" i="3"/>
  <c r="D22" i="3"/>
  <c r="E22" i="3" s="1"/>
  <c r="G22" i="3" s="1"/>
  <c r="D21" i="3"/>
  <c r="E21" i="3" s="1"/>
  <c r="E20" i="3"/>
  <c r="G20" i="3" s="1"/>
  <c r="D20" i="3"/>
  <c r="D19" i="3"/>
  <c r="E19" i="3" s="1"/>
  <c r="G19" i="3" s="1"/>
  <c r="E18" i="3"/>
  <c r="G18" i="3" s="1"/>
  <c r="D18" i="3"/>
  <c r="D17" i="3"/>
  <c r="E17" i="3" s="1"/>
  <c r="E16" i="3"/>
  <c r="G16" i="3" s="1"/>
  <c r="D16" i="3"/>
  <c r="D15" i="3"/>
  <c r="E15" i="3" s="1"/>
  <c r="G15" i="3" s="1"/>
  <c r="E14" i="3"/>
  <c r="G14" i="3" s="1"/>
  <c r="D14" i="3"/>
  <c r="E13" i="3"/>
  <c r="G13" i="3" s="1"/>
  <c r="D13" i="3"/>
  <c r="D12" i="3"/>
  <c r="E12" i="3" s="1"/>
  <c r="G12" i="3" s="1"/>
  <c r="E11" i="3"/>
  <c r="G11" i="3" s="1"/>
  <c r="D11" i="3"/>
  <c r="D10" i="3"/>
  <c r="E10" i="3" s="1"/>
  <c r="G10" i="3" s="1"/>
  <c r="F9" i="3"/>
  <c r="E9" i="3"/>
  <c r="G9" i="3" s="1"/>
  <c r="D9" i="3"/>
  <c r="D8" i="3"/>
  <c r="E8" i="3" s="1"/>
  <c r="G8" i="3" s="1"/>
  <c r="E7" i="3"/>
  <c r="G7" i="3" s="1"/>
  <c r="D7" i="3"/>
  <c r="D6" i="3"/>
  <c r="E6" i="3" s="1"/>
  <c r="G6" i="3" s="1"/>
  <c r="D5" i="3"/>
  <c r="E5" i="3" s="1"/>
  <c r="E4" i="3"/>
  <c r="G4" i="3" s="1"/>
  <c r="D4" i="3"/>
  <c r="D3" i="3"/>
  <c r="E3" i="3" s="1"/>
  <c r="G3" i="3" s="1"/>
  <c r="G21" i="3" l="1"/>
  <c r="F21" i="3"/>
  <c r="G37" i="3"/>
  <c r="F37" i="3"/>
  <c r="G57" i="3"/>
  <c r="F57" i="3"/>
  <c r="G5" i="3"/>
  <c r="F5" i="3"/>
  <c r="G17" i="3"/>
  <c r="F17" i="3"/>
  <c r="G41" i="3"/>
  <c r="F41" i="3"/>
  <c r="F13" i="3"/>
  <c r="F45" i="3"/>
  <c r="F53" i="3"/>
  <c r="G77" i="3"/>
  <c r="F77" i="3"/>
  <c r="G89" i="3"/>
  <c r="F89" i="3"/>
  <c r="G109" i="3"/>
  <c r="F109" i="3"/>
  <c r="G121" i="3"/>
  <c r="F121" i="3"/>
  <c r="G141" i="3"/>
  <c r="F141" i="3"/>
  <c r="G153" i="3"/>
  <c r="F153" i="3"/>
  <c r="F168" i="3"/>
  <c r="G168" i="3"/>
  <c r="F184" i="3"/>
  <c r="G184" i="3"/>
  <c r="F200" i="3"/>
  <c r="G200" i="3"/>
  <c r="F216" i="3"/>
  <c r="G216" i="3"/>
  <c r="F29" i="3"/>
  <c r="F224" i="3"/>
  <c r="G224" i="3"/>
  <c r="F232" i="3"/>
  <c r="G232" i="3"/>
  <c r="F240" i="3"/>
  <c r="G240" i="3"/>
  <c r="F248" i="3"/>
  <c r="G248" i="3"/>
  <c r="F256" i="3"/>
  <c r="G256" i="3"/>
  <c r="F264" i="3"/>
  <c r="G264" i="3"/>
  <c r="F272" i="3"/>
  <c r="G272" i="3"/>
  <c r="F280" i="3"/>
  <c r="G280" i="3"/>
  <c r="G323" i="3"/>
  <c r="F323" i="3"/>
  <c r="G355" i="3"/>
  <c r="F355" i="3"/>
  <c r="G325" i="3"/>
  <c r="F325" i="3"/>
  <c r="G25" i="3"/>
  <c r="F25" i="3"/>
  <c r="G61" i="3"/>
  <c r="F61" i="3"/>
  <c r="G73" i="3"/>
  <c r="F73" i="3"/>
  <c r="G93" i="3"/>
  <c r="F93" i="3"/>
  <c r="G105" i="3"/>
  <c r="F105" i="3"/>
  <c r="G125" i="3"/>
  <c r="F125" i="3"/>
  <c r="G137" i="3"/>
  <c r="F137" i="3"/>
  <c r="F160" i="3"/>
  <c r="G160" i="3"/>
  <c r="F176" i="3"/>
  <c r="G176" i="3"/>
  <c r="F192" i="3"/>
  <c r="G192" i="3"/>
  <c r="F208" i="3"/>
  <c r="G208" i="3"/>
  <c r="G312" i="3"/>
  <c r="F312" i="3"/>
  <c r="G228" i="3"/>
  <c r="G236" i="3"/>
  <c r="G244" i="3"/>
  <c r="G252" i="3"/>
  <c r="G260" i="3"/>
  <c r="G268" i="3"/>
  <c r="G276" i="3"/>
  <c r="F344" i="3"/>
  <c r="G303" i="3"/>
  <c r="F303" i="3"/>
  <c r="G343" i="3"/>
  <c r="F343" i="3"/>
  <c r="F166" i="3"/>
  <c r="G166" i="3"/>
  <c r="F182" i="3"/>
  <c r="G182" i="3"/>
  <c r="F198" i="3"/>
  <c r="G198" i="3"/>
  <c r="F214" i="3"/>
  <c r="G214" i="3"/>
  <c r="F230" i="3"/>
  <c r="G230" i="3"/>
  <c r="F238" i="3"/>
  <c r="G238" i="3"/>
  <c r="F254" i="3"/>
  <c r="G254" i="3"/>
  <c r="F262" i="3"/>
  <c r="G262" i="3"/>
  <c r="F270" i="3"/>
  <c r="G270" i="3"/>
  <c r="F278" i="3"/>
  <c r="G278" i="3"/>
  <c r="G335" i="3"/>
  <c r="F335" i="3"/>
  <c r="G346" i="3"/>
  <c r="F346" i="3"/>
  <c r="G290" i="3"/>
  <c r="F290" i="3"/>
  <c r="G295" i="3"/>
  <c r="F295" i="3"/>
  <c r="G298" i="3"/>
  <c r="F298" i="3"/>
  <c r="G314" i="3"/>
  <c r="F314" i="3"/>
  <c r="F158" i="3"/>
  <c r="G158" i="3"/>
  <c r="F174" i="3"/>
  <c r="G174" i="3"/>
  <c r="F190" i="3"/>
  <c r="G190" i="3"/>
  <c r="F206" i="3"/>
  <c r="G206" i="3"/>
  <c r="F222" i="3"/>
  <c r="G222" i="3"/>
  <c r="F246" i="3"/>
  <c r="G246" i="3"/>
  <c r="F162" i="3"/>
  <c r="G162" i="3"/>
  <c r="F170" i="3"/>
  <c r="G170" i="3"/>
  <c r="F178" i="3"/>
  <c r="G178" i="3"/>
  <c r="F186" i="3"/>
  <c r="G186" i="3"/>
  <c r="F194" i="3"/>
  <c r="G194" i="3"/>
  <c r="F202" i="3"/>
  <c r="G202" i="3"/>
  <c r="F210" i="3"/>
  <c r="G210" i="3"/>
  <c r="F218" i="3"/>
  <c r="G218" i="3"/>
  <c r="F226" i="3"/>
  <c r="G226" i="3"/>
  <c r="F234" i="3"/>
  <c r="G234" i="3"/>
  <c r="F242" i="3"/>
  <c r="G242" i="3"/>
  <c r="F250" i="3"/>
  <c r="G250" i="3"/>
  <c r="F258" i="3"/>
  <c r="G258" i="3"/>
  <c r="F266" i="3"/>
  <c r="G266" i="3"/>
  <c r="F274" i="3"/>
  <c r="G274" i="3"/>
  <c r="G282" i="3"/>
  <c r="F282" i="3"/>
  <c r="G311" i="3"/>
  <c r="F311" i="3"/>
  <c r="G322" i="3"/>
  <c r="F322" i="3"/>
  <c r="G327" i="3"/>
  <c r="F327" i="3"/>
  <c r="G330" i="3"/>
  <c r="F330" i="3"/>
  <c r="G287" i="3"/>
  <c r="F287" i="3"/>
  <c r="G334" i="3"/>
  <c r="F334" i="3"/>
  <c r="G338" i="3"/>
  <c r="F338" i="3"/>
  <c r="G349" i="3"/>
  <c r="F349" i="3"/>
  <c r="G358" i="3"/>
  <c r="F358" i="3"/>
  <c r="F4" i="3"/>
  <c r="F8" i="3"/>
  <c r="F20" i="3"/>
  <c r="F28" i="3"/>
  <c r="F36" i="3"/>
  <c r="F44" i="3"/>
  <c r="F52" i="3"/>
  <c r="F60" i="3"/>
  <c r="F68" i="3"/>
  <c r="F76" i="3"/>
  <c r="F84" i="3"/>
  <c r="F96" i="3"/>
  <c r="F100" i="3"/>
  <c r="F116" i="3"/>
  <c r="F120" i="3"/>
  <c r="F128" i="3"/>
  <c r="F140" i="3"/>
  <c r="G302" i="3"/>
  <c r="F302" i="3"/>
  <c r="G306" i="3"/>
  <c r="F306" i="3"/>
  <c r="G319" i="3"/>
  <c r="F319" i="3"/>
  <c r="G352" i="3"/>
  <c r="F352" i="3"/>
  <c r="F12" i="3"/>
  <c r="F16" i="3"/>
  <c r="F24" i="3"/>
  <c r="F32" i="3"/>
  <c r="F40" i="3"/>
  <c r="F48" i="3"/>
  <c r="F56" i="3"/>
  <c r="F64" i="3"/>
  <c r="F72" i="3"/>
  <c r="F80" i="3"/>
  <c r="F88" i="3"/>
  <c r="F92" i="3"/>
  <c r="F104" i="3"/>
  <c r="F108" i="3"/>
  <c r="F112" i="3"/>
  <c r="F124" i="3"/>
  <c r="F132" i="3"/>
  <c r="F136" i="3"/>
  <c r="F144" i="3"/>
  <c r="F148" i="3"/>
  <c r="F152" i="3"/>
  <c r="F157" i="3"/>
  <c r="G157" i="3"/>
  <c r="F161" i="3"/>
  <c r="G161" i="3"/>
  <c r="F165" i="3"/>
  <c r="G165" i="3"/>
  <c r="F169" i="3"/>
  <c r="G169" i="3"/>
  <c r="F173" i="3"/>
  <c r="G173" i="3"/>
  <c r="F177" i="3"/>
  <c r="G177" i="3"/>
  <c r="F181" i="3"/>
  <c r="G181" i="3"/>
  <c r="F185" i="3"/>
  <c r="G185" i="3"/>
  <c r="F189" i="3"/>
  <c r="G189" i="3"/>
  <c r="F193" i="3"/>
  <c r="G193" i="3"/>
  <c r="F197" i="3"/>
  <c r="G197" i="3"/>
  <c r="F201" i="3"/>
  <c r="G201" i="3"/>
  <c r="F205" i="3"/>
  <c r="G205" i="3"/>
  <c r="F209" i="3"/>
  <c r="G209" i="3"/>
  <c r="F213" i="3"/>
  <c r="G213" i="3"/>
  <c r="F217" i="3"/>
  <c r="G217" i="3"/>
  <c r="F221" i="3"/>
  <c r="G221" i="3"/>
  <c r="F225" i="3"/>
  <c r="G225" i="3"/>
  <c r="F229" i="3"/>
  <c r="G229" i="3"/>
  <c r="F233" i="3"/>
  <c r="G233" i="3"/>
  <c r="F237" i="3"/>
  <c r="G237" i="3"/>
  <c r="F241" i="3"/>
  <c r="G241" i="3"/>
  <c r="F245" i="3"/>
  <c r="G245" i="3"/>
  <c r="F249" i="3"/>
  <c r="G249" i="3"/>
  <c r="F253" i="3"/>
  <c r="G253" i="3"/>
  <c r="F257" i="3"/>
  <c r="G257" i="3"/>
  <c r="F261" i="3"/>
  <c r="G261" i="3"/>
  <c r="F265" i="3"/>
  <c r="G265" i="3"/>
  <c r="F269" i="3"/>
  <c r="G269" i="3"/>
  <c r="F273" i="3"/>
  <c r="G273" i="3"/>
  <c r="F277" i="3"/>
  <c r="G277" i="3"/>
  <c r="F281" i="3"/>
  <c r="G281" i="3"/>
  <c r="F283" i="3"/>
  <c r="F285" i="3"/>
  <c r="G294" i="3"/>
  <c r="F294" i="3"/>
  <c r="F304" i="3"/>
  <c r="F315" i="3"/>
  <c r="F317" i="3"/>
  <c r="G326" i="3"/>
  <c r="F326" i="3"/>
  <c r="F336" i="3"/>
  <c r="F347" i="3"/>
  <c r="G350" i="3"/>
  <c r="F350" i="3"/>
  <c r="G359" i="3"/>
  <c r="F359" i="3"/>
  <c r="G362" i="3"/>
  <c r="F362" i="3"/>
  <c r="F3" i="3"/>
  <c r="F7" i="3"/>
  <c r="F11" i="3"/>
  <c r="F15" i="3"/>
  <c r="F19" i="3"/>
  <c r="F23" i="3"/>
  <c r="F27" i="3"/>
  <c r="F31" i="3"/>
  <c r="F35" i="3"/>
  <c r="F39" i="3"/>
  <c r="F43" i="3"/>
  <c r="F47" i="3"/>
  <c r="F51" i="3"/>
  <c r="F55" i="3"/>
  <c r="F59" i="3"/>
  <c r="F63" i="3"/>
  <c r="F67" i="3"/>
  <c r="F71" i="3"/>
  <c r="F75" i="3"/>
  <c r="F79" i="3"/>
  <c r="F83" i="3"/>
  <c r="F87" i="3"/>
  <c r="F91" i="3"/>
  <c r="F95" i="3"/>
  <c r="F99" i="3"/>
  <c r="F103" i="3"/>
  <c r="F107" i="3"/>
  <c r="F111" i="3"/>
  <c r="F115" i="3"/>
  <c r="F119" i="3"/>
  <c r="F123" i="3"/>
  <c r="F127" i="3"/>
  <c r="F131" i="3"/>
  <c r="F135" i="3"/>
  <c r="F139" i="3"/>
  <c r="F143" i="3"/>
  <c r="F147" i="3"/>
  <c r="F151" i="3"/>
  <c r="G155" i="3"/>
  <c r="G159" i="3"/>
  <c r="G163" i="3"/>
  <c r="G167" i="3"/>
  <c r="G171" i="3"/>
  <c r="G175" i="3"/>
  <c r="G179" i="3"/>
  <c r="G183" i="3"/>
  <c r="G187" i="3"/>
  <c r="G191" i="3"/>
  <c r="G195" i="3"/>
  <c r="G199" i="3"/>
  <c r="G203" i="3"/>
  <c r="G207" i="3"/>
  <c r="G211" i="3"/>
  <c r="G215" i="3"/>
  <c r="G219" i="3"/>
  <c r="G223" i="3"/>
  <c r="G227" i="3"/>
  <c r="G231" i="3"/>
  <c r="G235" i="3"/>
  <c r="G239" i="3"/>
  <c r="G243" i="3"/>
  <c r="G247" i="3"/>
  <c r="G251" i="3"/>
  <c r="G255" i="3"/>
  <c r="G259" i="3"/>
  <c r="G263" i="3"/>
  <c r="G267" i="3"/>
  <c r="G271" i="3"/>
  <c r="G275" i="3"/>
  <c r="G279" i="3"/>
  <c r="G286" i="3"/>
  <c r="F286" i="3"/>
  <c r="F296" i="3"/>
  <c r="F307" i="3"/>
  <c r="F309" i="3"/>
  <c r="G318" i="3"/>
  <c r="F318" i="3"/>
  <c r="F328" i="3"/>
  <c r="F339" i="3"/>
  <c r="F341" i="3"/>
  <c r="G351" i="3"/>
  <c r="F351" i="3"/>
  <c r="G354" i="3"/>
  <c r="F354" i="3"/>
  <c r="G365" i="3"/>
  <c r="F365" i="3"/>
  <c r="F6" i="3"/>
  <c r="F10" i="3"/>
  <c r="F14" i="3"/>
  <c r="F18" i="3"/>
  <c r="F22" i="3"/>
  <c r="F26" i="3"/>
  <c r="F30" i="3"/>
  <c r="F34" i="3"/>
  <c r="F38" i="3"/>
  <c r="F42" i="3"/>
  <c r="F46" i="3"/>
  <c r="F50" i="3"/>
  <c r="F54" i="3"/>
  <c r="F58" i="3"/>
  <c r="F62" i="3"/>
  <c r="F66" i="3"/>
  <c r="F70" i="3"/>
  <c r="F74" i="3"/>
  <c r="F78" i="3"/>
  <c r="F82" i="3"/>
  <c r="F86" i="3"/>
  <c r="F90" i="3"/>
  <c r="F94" i="3"/>
  <c r="F98" i="3"/>
  <c r="F102" i="3"/>
  <c r="F106" i="3"/>
  <c r="F110" i="3"/>
  <c r="F114" i="3"/>
  <c r="F118" i="3"/>
  <c r="F122" i="3"/>
  <c r="F126" i="3"/>
  <c r="F130" i="3"/>
  <c r="F134" i="3"/>
  <c r="F138" i="3"/>
  <c r="F142" i="3"/>
  <c r="F146" i="3"/>
  <c r="F150" i="3"/>
  <c r="F154" i="3"/>
  <c r="F288" i="3"/>
  <c r="F299" i="3"/>
  <c r="F301" i="3"/>
  <c r="G310" i="3"/>
  <c r="F310" i="3"/>
  <c r="F320" i="3"/>
  <c r="F331" i="3"/>
  <c r="F333" i="3"/>
  <c r="G342" i="3"/>
  <c r="F342" i="3"/>
  <c r="G357" i="3"/>
  <c r="F357" i="3"/>
  <c r="G360" i="3"/>
  <c r="F360" i="3"/>
  <c r="F363" i="3"/>
  <c r="G366" i="3"/>
  <c r="F366" i="3"/>
  <c r="F284" i="3"/>
  <c r="F289" i="3"/>
  <c r="F292" i="3"/>
  <c r="F297" i="3"/>
  <c r="F300" i="3"/>
  <c r="F305" i="3"/>
  <c r="F308" i="3"/>
  <c r="F313" i="3"/>
  <c r="F316" i="3"/>
  <c r="F321" i="3"/>
  <c r="F324" i="3"/>
  <c r="F329" i="3"/>
  <c r="F332" i="3"/>
  <c r="F337" i="3"/>
  <c r="F340" i="3"/>
  <c r="F345" i="3"/>
  <c r="F348" i="3"/>
  <c r="F353" i="3"/>
  <c r="F356" i="3"/>
  <c r="F361" i="3"/>
  <c r="F364" i="3"/>
  <c r="I2" i="3"/>
  <c r="H2" i="3"/>
  <c r="P16" i="5"/>
  <c r="P17" i="5"/>
  <c r="P18" i="5"/>
  <c r="P19" i="5"/>
  <c r="P20" i="5"/>
  <c r="P21" i="5"/>
  <c r="P22" i="5"/>
  <c r="P23" i="5"/>
  <c r="P24" i="5"/>
  <c r="P25" i="5"/>
  <c r="P26" i="5"/>
  <c r="P2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O25" i="5" s="1"/>
  <c r="A3" i="5"/>
  <c r="A2" i="5"/>
  <c r="D2" i="3"/>
  <c r="E2" i="3" s="1"/>
  <c r="C368" i="14"/>
  <c r="C384" i="14"/>
  <c r="C400" i="14"/>
  <c r="C416" i="14"/>
  <c r="C432" i="14"/>
  <c r="C448" i="14"/>
  <c r="H7" i="14"/>
  <c r="C381" i="14"/>
  <c r="C397" i="14"/>
  <c r="C413" i="14"/>
  <c r="C429" i="14"/>
  <c r="C445" i="14"/>
  <c r="C370" i="14"/>
  <c r="C386" i="14"/>
  <c r="C402" i="14"/>
  <c r="C418" i="14"/>
  <c r="C434" i="14"/>
  <c r="C450" i="14"/>
  <c r="C367" i="14"/>
  <c r="C383" i="14"/>
  <c r="C399" i="14"/>
  <c r="C415" i="14"/>
  <c r="C431" i="14"/>
  <c r="C447" i="14"/>
  <c r="H6" i="14"/>
  <c r="C372" i="14"/>
  <c r="C388" i="14"/>
  <c r="C404" i="14"/>
  <c r="C420" i="14"/>
  <c r="C436" i="14"/>
  <c r="C452" i="14"/>
  <c r="C369" i="14"/>
  <c r="C385" i="14"/>
  <c r="C401" i="14"/>
  <c r="C417" i="14"/>
  <c r="C433" i="14"/>
  <c r="C449" i="14"/>
  <c r="C374" i="14"/>
  <c r="C390" i="14"/>
  <c r="C406" i="14"/>
  <c r="C422" i="14"/>
  <c r="C438" i="14"/>
  <c r="C454" i="14"/>
  <c r="C371" i="14"/>
  <c r="C387" i="14"/>
  <c r="C403" i="14"/>
  <c r="C419" i="14"/>
  <c r="C435" i="14"/>
  <c r="C451" i="14"/>
  <c r="H2" i="14"/>
  <c r="C376" i="14"/>
  <c r="C392" i="14"/>
  <c r="C408" i="14"/>
  <c r="C424" i="14"/>
  <c r="C440" i="14"/>
  <c r="C456" i="14"/>
  <c r="C373" i="14"/>
  <c r="C389" i="14"/>
  <c r="C405" i="14"/>
  <c r="C421" i="14"/>
  <c r="C437" i="14"/>
  <c r="C453" i="14"/>
  <c r="C378" i="14"/>
  <c r="C394" i="14"/>
  <c r="C410" i="14"/>
  <c r="C426" i="14"/>
  <c r="C442" i="14"/>
  <c r="C458" i="14"/>
  <c r="C375" i="14"/>
  <c r="C391" i="14"/>
  <c r="C407" i="14"/>
  <c r="C423" i="14"/>
  <c r="C439" i="14"/>
  <c r="C455" i="14"/>
  <c r="H4" i="14"/>
  <c r="C380" i="14"/>
  <c r="C396" i="14"/>
  <c r="C412" i="14"/>
  <c r="C428" i="14"/>
  <c r="C444" i="14"/>
  <c r="H3" i="14"/>
  <c r="C377" i="14"/>
  <c r="C393" i="14"/>
  <c r="C409" i="14"/>
  <c r="C425" i="14"/>
  <c r="C441" i="14"/>
  <c r="C457" i="14"/>
  <c r="C382" i="14"/>
  <c r="C398" i="14"/>
  <c r="C414" i="14"/>
  <c r="C430" i="14"/>
  <c r="C446" i="14"/>
  <c r="H5" i="14"/>
  <c r="C379" i="14"/>
  <c r="C395" i="14"/>
  <c r="C411" i="14"/>
  <c r="C427" i="14"/>
  <c r="C443" i="14"/>
  <c r="H8" i="14"/>
  <c r="Q19" i="5" l="1"/>
  <c r="Q25" i="5"/>
  <c r="Q17" i="5"/>
  <c r="G2" i="3"/>
  <c r="F2" i="3"/>
  <c r="O26" i="5"/>
  <c r="Q26" i="5" s="1"/>
  <c r="O16" i="5"/>
  <c r="Q16" i="5" s="1"/>
  <c r="O18" i="5"/>
  <c r="Q18" i="5" s="1"/>
  <c r="O19" i="5"/>
  <c r="O21" i="5"/>
  <c r="Q21" i="5" s="1"/>
  <c r="O23" i="5"/>
  <c r="Q23" i="5" s="1"/>
  <c r="O27" i="5"/>
  <c r="Q27" i="5" s="1"/>
  <c r="O17" i="5"/>
  <c r="O20" i="5"/>
  <c r="Q20" i="5" s="1"/>
  <c r="O22" i="5"/>
  <c r="Q22" i="5" s="1"/>
  <c r="O24" i="5"/>
  <c r="Q24" i="5" s="1"/>
  <c r="D455" i="14"/>
  <c r="E423" i="14"/>
  <c r="D391" i="14"/>
  <c r="D454" i="14"/>
  <c r="D422" i="14"/>
  <c r="D390" i="14"/>
  <c r="E449" i="14"/>
  <c r="E417" i="14"/>
  <c r="D385" i="14"/>
  <c r="D444" i="14"/>
  <c r="D412" i="14"/>
  <c r="D380" i="14"/>
  <c r="E419" i="14"/>
  <c r="D442" i="14"/>
  <c r="D378" i="14"/>
  <c r="D405" i="14"/>
  <c r="D432" i="14"/>
  <c r="D368" i="14"/>
  <c r="E395" i="14"/>
  <c r="E426" i="14"/>
  <c r="E453" i="14"/>
  <c r="E389" i="14"/>
  <c r="E416" i="14"/>
  <c r="E455" i="14"/>
  <c r="D423" i="14"/>
  <c r="E391" i="14"/>
  <c r="E454" i="14"/>
  <c r="E422" i="14"/>
  <c r="E390" i="14"/>
  <c r="D449" i="14"/>
  <c r="D417" i="14"/>
  <c r="E385" i="14"/>
  <c r="E444" i="14"/>
  <c r="E412" i="14"/>
  <c r="E380" i="14"/>
  <c r="D411" i="14"/>
  <c r="D450" i="14"/>
  <c r="D386" i="14"/>
  <c r="D413" i="14"/>
  <c r="D440" i="14"/>
  <c r="D376" i="14"/>
  <c r="D403" i="14"/>
  <c r="E434" i="14"/>
  <c r="E370" i="14"/>
  <c r="E397" i="14"/>
  <c r="E424" i="14"/>
  <c r="E404" i="14"/>
  <c r="D434" i="14"/>
  <c r="D397" i="14"/>
  <c r="D424" i="14"/>
  <c r="E387" i="14"/>
  <c r="E418" i="14"/>
  <c r="E445" i="14"/>
  <c r="E408" i="14"/>
  <c r="E451" i="14"/>
  <c r="D445" i="14"/>
  <c r="D435" i="14"/>
  <c r="E371" i="14"/>
  <c r="E456" i="14"/>
  <c r="E425" i="14"/>
  <c r="E435" i="14"/>
  <c r="D421" i="14"/>
  <c r="E411" i="14"/>
  <c r="E442" i="14"/>
  <c r="E405" i="14"/>
  <c r="E431" i="14"/>
  <c r="E399" i="14"/>
  <c r="E398" i="14"/>
  <c r="E393" i="14"/>
  <c r="E388" i="14"/>
  <c r="D402" i="14"/>
  <c r="D419" i="14"/>
  <c r="E386" i="14"/>
  <c r="E376" i="14"/>
  <c r="E447" i="14"/>
  <c r="D415" i="14"/>
  <c r="D383" i="14"/>
  <c r="D446" i="14"/>
  <c r="D414" i="14"/>
  <c r="D382" i="14"/>
  <c r="E441" i="14"/>
  <c r="E409" i="14"/>
  <c r="D377" i="14"/>
  <c r="D436" i="14"/>
  <c r="D404" i="14"/>
  <c r="D372" i="14"/>
  <c r="E403" i="14"/>
  <c r="D426" i="14"/>
  <c r="D453" i="14"/>
  <c r="D389" i="14"/>
  <c r="D416" i="14"/>
  <c r="E443" i="14"/>
  <c r="E379" i="14"/>
  <c r="E410" i="14"/>
  <c r="E437" i="14"/>
  <c r="E373" i="14"/>
  <c r="E400" i="14"/>
  <c r="D447" i="14"/>
  <c r="E415" i="14"/>
  <c r="E383" i="14"/>
  <c r="E446" i="14"/>
  <c r="E414" i="14"/>
  <c r="E382" i="14"/>
  <c r="D441" i="14"/>
  <c r="D409" i="14"/>
  <c r="E377" i="14"/>
  <c r="E436" i="14"/>
  <c r="E372" i="14"/>
  <c r="D395" i="14"/>
  <c r="D370" i="14"/>
  <c r="D451" i="14"/>
  <c r="E381" i="14"/>
  <c r="E428" i="14"/>
  <c r="D418" i="14"/>
  <c r="D408" i="14"/>
  <c r="E402" i="14"/>
  <c r="E392" i="14"/>
  <c r="D431" i="14"/>
  <c r="D367" i="14"/>
  <c r="D398" i="14"/>
  <c r="D393" i="14"/>
  <c r="D420" i="14"/>
  <c r="D371" i="14"/>
  <c r="D448" i="14"/>
  <c r="E378" i="14"/>
  <c r="E432" i="14"/>
  <c r="E430" i="14"/>
  <c r="D425" i="14"/>
  <c r="E420" i="14"/>
  <c r="D427" i="14"/>
  <c r="D429" i="14"/>
  <c r="D392" i="14"/>
  <c r="E413" i="14"/>
  <c r="D439" i="14"/>
  <c r="E407" i="14"/>
  <c r="D375" i="14"/>
  <c r="D438" i="14"/>
  <c r="D406" i="14"/>
  <c r="D374" i="14"/>
  <c r="E433" i="14"/>
  <c r="E401" i="14"/>
  <c r="D369" i="14"/>
  <c r="D428" i="14"/>
  <c r="D396" i="14"/>
  <c r="D443" i="14"/>
  <c r="D387" i="14"/>
  <c r="D410" i="14"/>
  <c r="D437" i="14"/>
  <c r="D373" i="14"/>
  <c r="D400" i="14"/>
  <c r="E427" i="14"/>
  <c r="E458" i="14"/>
  <c r="E394" i="14"/>
  <c r="E421" i="14"/>
  <c r="E448" i="14"/>
  <c r="E384" i="14"/>
  <c r="E439" i="14"/>
  <c r="D407" i="14"/>
  <c r="E375" i="14"/>
  <c r="E438" i="14"/>
  <c r="E406" i="14"/>
  <c r="E374" i="14"/>
  <c r="D433" i="14"/>
  <c r="D401" i="14"/>
  <c r="E369" i="14"/>
  <c r="E396" i="14"/>
  <c r="D379" i="14"/>
  <c r="D381" i="14"/>
  <c r="E429" i="14"/>
  <c r="D399" i="14"/>
  <c r="D430" i="14"/>
  <c r="E457" i="14"/>
  <c r="D452" i="14"/>
  <c r="D388" i="14"/>
  <c r="D394" i="14"/>
  <c r="D384" i="14"/>
  <c r="E368" i="14"/>
  <c r="E367" i="14"/>
  <c r="D457" i="14"/>
  <c r="E452" i="14"/>
  <c r="D458" i="14"/>
  <c r="D456" i="14"/>
  <c r="E450" i="14"/>
  <c r="E440" i="14"/>
</calcChain>
</file>

<file path=xl/sharedStrings.xml><?xml version="1.0" encoding="utf-8"?>
<sst xmlns="http://schemas.openxmlformats.org/spreadsheetml/2006/main" count="95" uniqueCount="52">
  <si>
    <t>Date</t>
  </si>
  <si>
    <t>Daily sales</t>
  </si>
  <si>
    <t>Naïve Approach</t>
  </si>
  <si>
    <t>Naive Error</t>
  </si>
  <si>
    <t>Absolute Error</t>
  </si>
  <si>
    <t>Absolute Squared Error</t>
  </si>
  <si>
    <t>Absolute Percentage Error</t>
  </si>
  <si>
    <t>MAE</t>
  </si>
  <si>
    <t>MSE</t>
  </si>
  <si>
    <t>MAPE</t>
  </si>
  <si>
    <t>Accuracy</t>
  </si>
  <si>
    <t>Moving Average Approach</t>
  </si>
  <si>
    <t>MA Error</t>
  </si>
  <si>
    <t>Exponential Smoothing Approach</t>
  </si>
  <si>
    <t>ES Error</t>
  </si>
  <si>
    <t>Period</t>
  </si>
  <si>
    <t>Linear forecast</t>
  </si>
  <si>
    <t>Months</t>
  </si>
  <si>
    <t>SLR Forecast</t>
  </si>
  <si>
    <t>Seasonality</t>
  </si>
  <si>
    <t>SLR Forecast * Seasonality</t>
  </si>
  <si>
    <t>Intercept</t>
  </si>
  <si>
    <t>Slope</t>
  </si>
  <si>
    <t>Seasonality Index</t>
  </si>
  <si>
    <t>Monthly Mean</t>
  </si>
  <si>
    <t>Annual Average</t>
  </si>
  <si>
    <t>Seasonlity Index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</si>
  <si>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</si>
  <si>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</si>
  <si>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</si>
  <si>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</si>
  <si>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</si>
  <si>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</si>
  <si>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</si>
  <si>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</si>
  <si>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</si>
  <si>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</si>
  <si>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</si>
  <si>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</si>
  <si>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Forecast(Daily sales)</t>
  </si>
  <si>
    <t>Lower Confidence Bound(Daily sales)</t>
  </si>
  <si>
    <t>Upper Confidence Bound(Daily sales)</t>
  </si>
  <si>
    <t>Statistic</t>
  </si>
  <si>
    <t>Value</t>
  </si>
  <si>
    <t>Alpha</t>
  </si>
  <si>
    <t>Beta</t>
  </si>
  <si>
    <t>Gamma</t>
  </si>
  <si>
    <t>MASE</t>
  </si>
  <si>
    <t>SMAPE</t>
  </si>
  <si>
    <t>RMSE</t>
  </si>
  <si>
    <t>average number of sale</t>
  </si>
  <si>
    <t>total number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</si>
</sst>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>
    <font>
      <sz val="12"/>
      <color theme="1"/>
      <name val="Calibri"/>
      <scheme val="minor"/>
    </font>
    <font>
      <b/>
      <sz val="10"/>
      <color rgb="FF000000"/>
      <name val="Arimo"/>
    </font>
    <font>
      <b/>
      <sz val="12"/>
      <color theme="1"/>
      <name val="Calibri"/>
    </font>
    <font>
      <sz val="10"/>
      <color rgb="FF000000"/>
      <name val="Arimo"/>
    </font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4"/>
      <name val="Calibri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  <xf numFmtId="0" fontId="4" fillId="0" borderId="0" xfId="0" applyFont="1"/>
    <xf numFmtId="9" fontId="5" fillId="0" borderId="0" xfId="0" applyNumberFormat="1" applyFont="1"/>
    <xf numFmtId="0" fontId="2" fillId="0" borderId="1" xfId="0" applyFont="1" applyBorder="1"/>
    <xf numFmtId="2" fontId="5" fillId="0" borderId="1" xfId="0" applyNumberFormat="1" applyFont="1" applyBorder="1"/>
    <xf numFmtId="2" fontId="5" fillId="0" borderId="0" xfId="0" applyNumberFormat="1" applyFont="1"/>
    <xf numFmtId="0" fontId="2" fillId="0" borderId="2" xfId="0" applyFont="1" applyBorder="1"/>
    <xf numFmtId="9" fontId="5" fillId="0" borderId="2" xfId="0" applyNumberFormat="1" applyFont="1" applyBorder="1"/>
    <xf numFmtId="0" fontId="2" fillId="0" borderId="3" xfId="0" applyFont="1" applyBorder="1"/>
    <xf numFmtId="10" fontId="5" fillId="0" borderId="3" xfId="0" applyNumberFormat="1" applyFont="1" applyBorder="1"/>
    <xf numFmtId="1" fontId="2" fillId="0" borderId="0" xfId="0" applyNumberFormat="1" applyFont="1"/>
    <xf numFmtId="2" fontId="2" fillId="0" borderId="0" xfId="0" applyNumberFormat="1" applyFont="1"/>
    <xf numFmtId="1" fontId="5" fillId="0" borderId="0" xfId="0" applyNumberFormat="1" applyFont="1"/>
    <xf numFmtId="0" fontId="2" fillId="0" borderId="4" xfId="0" applyFont="1" applyBorder="1"/>
    <xf numFmtId="9" fontId="5" fillId="0" borderId="4" xfId="0" applyNumberFormat="1" applyFont="1" applyBorder="1"/>
    <xf numFmtId="0" fontId="5" fillId="0" borderId="1" xfId="0" applyFont="1" applyBorder="1"/>
    <xf numFmtId="0" fontId="5" fillId="0" borderId="4" xfId="0" applyFont="1" applyBorder="1"/>
    <xf numFmtId="0" fontId="6" fillId="2" borderId="5" xfId="0" applyFont="1" applyFill="1" applyBorder="1"/>
    <xf numFmtId="0" fontId="5" fillId="0" borderId="0" xfId="0" applyFont="1"/>
    <xf numFmtId="1" fontId="5" fillId="0" borderId="4" xfId="0" applyNumberFormat="1" applyFont="1" applyBorder="1"/>
    <xf numFmtId="2" fontId="5" fillId="0" borderId="4" xfId="0" applyNumberFormat="1" applyFont="1" applyBorder="1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0" fontId="7" fillId="0" borderId="0" xfId="0" applyFont="1"/>
  </cellXfs>
  <cellStyles count="1">
    <cellStyle name="Normal" xfId="0" builtinId="0"/>
  </cellStyles>
  <dxfs count="4">
    <dxf>
      <numFmt numFmtId="4" formatCode="#,##0.00"/>
    </dxf>
    <dxf>
      <numFmt numFmtId="2" formatCode="0.00"/>
    </dxf>
    <dxf>
      <numFmt numFmtId="2" formatCode="0.00"/>
    </dxf>
    <dxf>
      <numFmt numFmtId="164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Naive!$B$1</c:f>
              <c:strCache>
                <c:ptCount val="1"/>
                <c:pt idx="0">
                  <c:v>Daily sales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Naive!$A$2:$A$1000</c:f>
              <c:numCache>
                <c:formatCode>d/m/yyyy</c:formatCode>
                <c:ptCount val="365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cat>
          <c:val>
            <c:numRef>
              <c:f>Naive!$B$2:$B$1000</c:f>
              <c:numCache>
                <c:formatCode>General</c:formatCode>
                <c:ptCount val="365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46-4472-B3B7-AFCF0409D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48987935"/>
        <c:axId val="448988895"/>
      </c:lineChart>
      <c:dateAx>
        <c:axId val="448987935"/>
        <c:scaling>
          <c:orientation val="minMax"/>
        </c:scaling>
        <c:delete val="0"/>
        <c:axPos val="b"/>
        <c:numFmt formatCode="d/m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88895"/>
        <c:crosses val="autoZero"/>
        <c:auto val="1"/>
        <c:lblOffset val="100"/>
        <c:baseTimeUnit val="days"/>
      </c:dateAx>
      <c:valAx>
        <c:axId val="448988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8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03171478565178"/>
          <c:y val="0.20050925925925925"/>
          <c:w val="0.83687139107611552"/>
          <c:h val="0.57342592592592589"/>
        </c:manualLayout>
      </c:layout>
      <c:lineChart>
        <c:grouping val="standard"/>
        <c:varyColors val="0"/>
        <c:ser>
          <c:idx val="0"/>
          <c:order val="0"/>
          <c:tx>
            <c:strRef>
              <c:f>'Moving Average'!$B$1</c:f>
              <c:strCache>
                <c:ptCount val="1"/>
                <c:pt idx="0">
                  <c:v>Daily sales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'Moving Average'!$A$2:$A$1000</c:f>
              <c:numCache>
                <c:formatCode>d/m/yyyy</c:formatCode>
                <c:ptCount val="999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cat>
          <c:val>
            <c:numRef>
              <c:f>'Moving Average'!$B$2:$B$1000</c:f>
              <c:numCache>
                <c:formatCode>General</c:formatCode>
                <c:ptCount val="999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6-4E67-AE70-00B460BBE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48985535"/>
        <c:axId val="448987455"/>
      </c:lineChart>
      <c:dateAx>
        <c:axId val="448985535"/>
        <c:scaling>
          <c:orientation val="minMax"/>
        </c:scaling>
        <c:delete val="0"/>
        <c:axPos val="b"/>
        <c:numFmt formatCode="d/m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87455"/>
        <c:crosses val="autoZero"/>
        <c:auto val="1"/>
        <c:lblOffset val="100"/>
        <c:baseTimeUnit val="days"/>
      </c:dateAx>
      <c:valAx>
        <c:axId val="44898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8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'exponential smooth analysis'!$B$1</c:f>
              <c:strCache>
                <c:ptCount val="1"/>
                <c:pt idx="0">
                  <c:v>Daily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'exponential smooth analysis'!$B$2:$B$458</c:f>
              <c:numCache>
                <c:formatCode>General</c:formatCode>
                <c:ptCount val="457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E-48D1-ADB4-47FE6AFB57B4}"/>
            </c:ext>
          </c:extLst>
        </c:ser>
        <c:ser>
          <c:idx val="1"/>
          <c:order val="1"/>
          <c:tx>
            <c:strRef>
              <c:f>'exponential smooth analysis'!$C$1</c:f>
              <c:strCache>
                <c:ptCount val="1"/>
                <c:pt idx="0">
                  <c:v>Forecast(Daily 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'exponential smooth analysis'!$A$2:$A$458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'exponential smooth analysis'!$C$2:$C$458</c:f>
              <c:numCache>
                <c:formatCode>General</c:formatCode>
                <c:ptCount val="457"/>
                <c:pt idx="364">
                  <c:v>50</c:v>
                </c:pt>
                <c:pt idx="365">
                  <c:v>47.07848099046906</c:v>
                </c:pt>
                <c:pt idx="366">
                  <c:v>44.540814102244376</c:v>
                </c:pt>
                <c:pt idx="367">
                  <c:v>44.781489063466779</c:v>
                </c:pt>
                <c:pt idx="368">
                  <c:v>54.908684154817522</c:v>
                </c:pt>
                <c:pt idx="369">
                  <c:v>49.366808680756009</c:v>
                </c:pt>
                <c:pt idx="370">
                  <c:v>50.330835805359378</c:v>
                </c:pt>
                <c:pt idx="371">
                  <c:v>48.075340586273391</c:v>
                </c:pt>
                <c:pt idx="372">
                  <c:v>47.349610477405825</c:v>
                </c:pt>
                <c:pt idx="373">
                  <c:v>44.811943589181141</c:v>
                </c:pt>
                <c:pt idx="374">
                  <c:v>45.052618550403551</c:v>
                </c:pt>
                <c:pt idx="375">
                  <c:v>55.179813641754293</c:v>
                </c:pt>
                <c:pt idx="376">
                  <c:v>49.637938167692774</c:v>
                </c:pt>
                <c:pt idx="377">
                  <c:v>50.601965292296143</c:v>
                </c:pt>
                <c:pt idx="378">
                  <c:v>48.346470073210163</c:v>
                </c:pt>
                <c:pt idx="379">
                  <c:v>47.620739964342597</c:v>
                </c:pt>
                <c:pt idx="380">
                  <c:v>45.083073076117905</c:v>
                </c:pt>
                <c:pt idx="381">
                  <c:v>45.323748037340316</c:v>
                </c:pt>
                <c:pt idx="382">
                  <c:v>55.450943128691058</c:v>
                </c:pt>
                <c:pt idx="383">
                  <c:v>49.909067654629546</c:v>
                </c:pt>
                <c:pt idx="384">
                  <c:v>50.873094779232915</c:v>
                </c:pt>
                <c:pt idx="385">
                  <c:v>48.617599560146928</c:v>
                </c:pt>
                <c:pt idx="386">
                  <c:v>47.891869451279362</c:v>
                </c:pt>
                <c:pt idx="387">
                  <c:v>45.354202563054677</c:v>
                </c:pt>
                <c:pt idx="388">
                  <c:v>45.594877524277088</c:v>
                </c:pt>
                <c:pt idx="389">
                  <c:v>55.722072615627823</c:v>
                </c:pt>
                <c:pt idx="390">
                  <c:v>50.18019714156631</c:v>
                </c:pt>
                <c:pt idx="391">
                  <c:v>51.14422426616968</c:v>
                </c:pt>
                <c:pt idx="392">
                  <c:v>48.8887290470837</c:v>
                </c:pt>
                <c:pt idx="393">
                  <c:v>48.162998938216134</c:v>
                </c:pt>
                <c:pt idx="394">
                  <c:v>45.625332049991442</c:v>
                </c:pt>
                <c:pt idx="395">
                  <c:v>45.866007011213853</c:v>
                </c:pt>
                <c:pt idx="396">
                  <c:v>55.993202102564595</c:v>
                </c:pt>
                <c:pt idx="397">
                  <c:v>50.451326628503082</c:v>
                </c:pt>
                <c:pt idx="398">
                  <c:v>51.415353753106444</c:v>
                </c:pt>
                <c:pt idx="399">
                  <c:v>49.159858534020465</c:v>
                </c:pt>
                <c:pt idx="400">
                  <c:v>48.434128425152899</c:v>
                </c:pt>
                <c:pt idx="401">
                  <c:v>45.896461536928214</c:v>
                </c:pt>
                <c:pt idx="402">
                  <c:v>46.137136498150625</c:v>
                </c:pt>
                <c:pt idx="403">
                  <c:v>56.26433158950136</c:v>
                </c:pt>
                <c:pt idx="404">
                  <c:v>50.722456115439847</c:v>
                </c:pt>
                <c:pt idx="405">
                  <c:v>51.686483240043216</c:v>
                </c:pt>
                <c:pt idx="406">
                  <c:v>49.430988020957237</c:v>
                </c:pt>
                <c:pt idx="407">
                  <c:v>48.705257912089664</c:v>
                </c:pt>
                <c:pt idx="408">
                  <c:v>46.167591023864979</c:v>
                </c:pt>
                <c:pt idx="409">
                  <c:v>46.40826598508739</c:v>
                </c:pt>
                <c:pt idx="410">
                  <c:v>56.535461076438132</c:v>
                </c:pt>
                <c:pt idx="411">
                  <c:v>50.993585602376619</c:v>
                </c:pt>
                <c:pt idx="412">
                  <c:v>51.957612726979981</c:v>
                </c:pt>
                <c:pt idx="413">
                  <c:v>49.702117507894002</c:v>
                </c:pt>
                <c:pt idx="414">
                  <c:v>48.976387399026436</c:v>
                </c:pt>
                <c:pt idx="415">
                  <c:v>46.438720510801751</c:v>
                </c:pt>
                <c:pt idx="416">
                  <c:v>46.679395472024154</c:v>
                </c:pt>
                <c:pt idx="417">
                  <c:v>56.806590563374897</c:v>
                </c:pt>
                <c:pt idx="418">
                  <c:v>51.264715089313384</c:v>
                </c:pt>
                <c:pt idx="419">
                  <c:v>52.228742213916753</c:v>
                </c:pt>
                <c:pt idx="420">
                  <c:v>49.973246994830774</c:v>
                </c:pt>
                <c:pt idx="421">
                  <c:v>49.247516885963201</c:v>
                </c:pt>
                <c:pt idx="422">
                  <c:v>46.709849997738516</c:v>
                </c:pt>
                <c:pt idx="423">
                  <c:v>46.950524958960926</c:v>
                </c:pt>
                <c:pt idx="424">
                  <c:v>57.077720050311669</c:v>
                </c:pt>
                <c:pt idx="425">
                  <c:v>51.535844576250149</c:v>
                </c:pt>
                <c:pt idx="426">
                  <c:v>52.499871700853518</c:v>
                </c:pt>
                <c:pt idx="427">
                  <c:v>50.244376481767539</c:v>
                </c:pt>
                <c:pt idx="428">
                  <c:v>49.518646372899973</c:v>
                </c:pt>
                <c:pt idx="429">
                  <c:v>46.980979484675281</c:v>
                </c:pt>
                <c:pt idx="430">
                  <c:v>47.221654445897691</c:v>
                </c:pt>
                <c:pt idx="431">
                  <c:v>57.348849537248434</c:v>
                </c:pt>
                <c:pt idx="432">
                  <c:v>51.806974063186921</c:v>
                </c:pt>
                <c:pt idx="433">
                  <c:v>52.77100118779029</c:v>
                </c:pt>
                <c:pt idx="434">
                  <c:v>50.515505968704304</c:v>
                </c:pt>
                <c:pt idx="435">
                  <c:v>49.789775859836737</c:v>
                </c:pt>
                <c:pt idx="436">
                  <c:v>47.252108971612053</c:v>
                </c:pt>
                <c:pt idx="437">
                  <c:v>47.492783932834463</c:v>
                </c:pt>
                <c:pt idx="438">
                  <c:v>57.619979024185206</c:v>
                </c:pt>
                <c:pt idx="439">
                  <c:v>52.078103550123686</c:v>
                </c:pt>
                <c:pt idx="440">
                  <c:v>53.042130674727055</c:v>
                </c:pt>
                <c:pt idx="441">
                  <c:v>50.786635455641076</c:v>
                </c:pt>
                <c:pt idx="442">
                  <c:v>50.060905346773509</c:v>
                </c:pt>
                <c:pt idx="443">
                  <c:v>47.523238458548818</c:v>
                </c:pt>
                <c:pt idx="444">
                  <c:v>47.763913419771228</c:v>
                </c:pt>
                <c:pt idx="445">
                  <c:v>57.891108511121971</c:v>
                </c:pt>
                <c:pt idx="446">
                  <c:v>52.349233037060458</c:v>
                </c:pt>
                <c:pt idx="447">
                  <c:v>53.31326016166382</c:v>
                </c:pt>
                <c:pt idx="448">
                  <c:v>51.05776494257784</c:v>
                </c:pt>
                <c:pt idx="449">
                  <c:v>50.332034833710274</c:v>
                </c:pt>
                <c:pt idx="450">
                  <c:v>47.79436794548559</c:v>
                </c:pt>
                <c:pt idx="451">
                  <c:v>48.035042906708</c:v>
                </c:pt>
                <c:pt idx="452">
                  <c:v>58.162237998058735</c:v>
                </c:pt>
                <c:pt idx="453">
                  <c:v>52.620362523997223</c:v>
                </c:pt>
                <c:pt idx="454">
                  <c:v>53.584389648600592</c:v>
                </c:pt>
                <c:pt idx="455">
                  <c:v>51.328894429514612</c:v>
                </c:pt>
                <c:pt idx="456">
                  <c:v>50.603164320647046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E-48D1-ADB4-47FE6AFB57B4}"/>
            </c:ext>
          </c:extLst>
        </c:ser>
        <c:ser>
          <c:idx val="2"/>
          <c:order val="2"/>
          <c:tx>
            <c:strRef>
              <c:f>'exponential smooth analysis'!$D$1</c:f>
              <c:strCache>
                <c:ptCount val="1"/>
                <c:pt idx="0">
                  <c:v>Lower Confidence Bound(Daily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'exponential smooth analysis'!$A$2:$A$458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'exponential smooth analysis'!$D$2:$D$458</c:f>
              <c:numCache>
                <c:formatCode>General</c:formatCode>
                <c:ptCount val="457"/>
                <c:pt idx="364" formatCode="0.00">
                  <c:v>50</c:v>
                </c:pt>
                <c:pt idx="365" formatCode="0.00">
                  <c:v>32.414654408906244</c:v>
                </c:pt>
                <c:pt idx="366" formatCode="0.00">
                  <c:v>29.41854786793655</c:v>
                </c:pt>
                <c:pt idx="367" formatCode="0.00">
                  <c:v>29.210790583550015</c:v>
                </c:pt>
                <c:pt idx="368" formatCode="0.00">
                  <c:v>38.898706473903815</c:v>
                </c:pt>
                <c:pt idx="369" formatCode="0.00">
                  <c:v>32.925958073517805</c:v>
                </c:pt>
                <c:pt idx="370" formatCode="0.00">
                  <c:v>33.46686144441432</c:v>
                </c:pt>
                <c:pt idx="371" formatCode="0.00">
                  <c:v>30.795409942019152</c:v>
                </c:pt>
                <c:pt idx="372" formatCode="0.00">
                  <c:v>28.53241249700163</c:v>
                </c:pt>
                <c:pt idx="373" formatCode="0.00">
                  <c:v>25.615297518648745</c:v>
                </c:pt>
                <c:pt idx="374" formatCode="0.00">
                  <c:v>25.481029439801333</c:v>
                </c:pt>
                <c:pt idx="375" formatCode="0.00">
                  <c:v>35.237521653113248</c:v>
                </c:pt>
                <c:pt idx="376" formatCode="0.00">
                  <c:v>29.328940685029377</c:v>
                </c:pt>
                <c:pt idx="377" formatCode="0.00">
                  <c:v>29.93003656414654</c:v>
                </c:pt>
                <c:pt idx="378" formatCode="0.00">
                  <c:v>27.315178729394805</c:v>
                </c:pt>
                <c:pt idx="379" formatCode="0.00">
                  <c:v>25.274689608643374</c:v>
                </c:pt>
                <c:pt idx="380" formatCode="0.00">
                  <c:v>22.399147617220663</c:v>
                </c:pt>
                <c:pt idx="381" formatCode="0.00">
                  <c:v>22.304417209253565</c:v>
                </c:pt>
                <c:pt idx="382" formatCode="0.00">
                  <c:v>32.098561040360948</c:v>
                </c:pt>
                <c:pt idx="383" formatCode="0.00">
                  <c:v>26.225880019520226</c:v>
                </c:pt>
                <c:pt idx="384" formatCode="0.00">
                  <c:v>26.861245539538224</c:v>
                </c:pt>
                <c:pt idx="385" formatCode="0.00">
                  <c:v>24.27913696890926</c:v>
                </c:pt>
                <c:pt idx="386" formatCode="0.00">
                  <c:v>22.378100637382609</c:v>
                </c:pt>
                <c:pt idx="387" formatCode="0.00">
                  <c:v>19.528281345380467</c:v>
                </c:pt>
                <c:pt idx="388" formatCode="0.00">
                  <c:v>19.458281827703725</c:v>
                </c:pt>
                <c:pt idx="389" formatCode="0.00">
                  <c:v>29.276220148020414</c:v>
                </c:pt>
                <c:pt idx="390" formatCode="0.00">
                  <c:v>23.426448409956848</c:v>
                </c:pt>
                <c:pt idx="391" formatCode="0.00">
                  <c:v>24.08388539119122</c:v>
                </c:pt>
                <c:pt idx="392" formatCode="0.00">
                  <c:v>21.52305439254971</c:v>
                </c:pt>
                <c:pt idx="393" formatCode="0.00">
                  <c:v>19.719128830933382</c:v>
                </c:pt>
                <c:pt idx="394" formatCode="0.00">
                  <c:v>16.886648590495909</c:v>
                </c:pt>
                <c:pt idx="395" formatCode="0.00">
                  <c:v>16.833426383725545</c:v>
                </c:pt>
                <c:pt idx="396" formatCode="0.00">
                  <c:v>26.667605613231686</c:v>
                </c:pt>
                <c:pt idx="397" formatCode="0.00">
                  <c:v>20.833562166420574</c:v>
                </c:pt>
                <c:pt idx="398" formatCode="0.00">
                  <c:v>21.506237170099535</c:v>
                </c:pt>
                <c:pt idx="399" formatCode="0.00">
                  <c:v>18.960174948851929</c:v>
                </c:pt>
                <c:pt idx="400" formatCode="0.00">
                  <c:v>17.228399490386408</c:v>
                </c:pt>
                <c:pt idx="401" formatCode="0.00">
                  <c:v>14.408223351326622</c:v>
                </c:pt>
                <c:pt idx="402" formatCode="0.00">
                  <c:v>14.366955341805426</c:v>
                </c:pt>
                <c:pt idx="403" formatCode="0.00">
                  <c:v>24.212752089776494</c:v>
                </c:pt>
                <c:pt idx="404" formatCode="0.00">
                  <c:v>18.390002029036616</c:v>
                </c:pt>
                <c:pt idx="405" formatCode="0.00">
                  <c:v>19.073658197904024</c:v>
                </c:pt>
                <c:pt idx="406" formatCode="0.00">
                  <c:v>16.5382762382199</c:v>
                </c:pt>
                <c:pt idx="407" formatCode="0.00">
                  <c:v>14.862515363988024</c:v>
                </c:pt>
                <c:pt idx="408" formatCode="0.00">
                  <c:v>12.051357835491565</c:v>
                </c:pt>
                <c:pt idx="409" formatCode="0.00">
                  <c:v>12.018875729807299</c:v>
                </c:pt>
                <c:pt idx="410" formatCode="0.00">
                  <c:v>21.873233237879447</c:v>
                </c:pt>
                <c:pt idx="411" formatCode="0.00">
                  <c:v>16.058826023617669</c:v>
                </c:pt>
                <c:pt idx="412" formatCode="0.00">
                  <c:v>16.75061404111942</c:v>
                </c:pt>
                <c:pt idx="413" formatCode="0.00">
                  <c:v>14.223159550968859</c:v>
                </c:pt>
                <c:pt idx="414" formatCode="0.00">
                  <c:v>12.592292381580393</c:v>
                </c:pt>
                <c:pt idx="415" formatCode="0.00">
                  <c:v>9.7878800722301733</c:v>
                </c:pt>
                <c:pt idx="416" formatCode="0.00">
                  <c:v>9.761980865389468</c:v>
                </c:pt>
                <c:pt idx="417" formatCode="0.00">
                  <c:v>19.622763575721336</c:v>
                </c:pt>
                <c:pt idx="418" formatCode="0.00">
                  <c:v>13.814628313205368</c:v>
                </c:pt>
                <c:pt idx="419" formatCode="0.00">
                  <c:v>14.512539309003508</c:v>
                </c:pt>
                <c:pt idx="420" formatCode="0.00">
                  <c:v>11.991062939894285</c:v>
                </c:pt>
                <c:pt idx="421" formatCode="0.00">
                  <c:v>10.397053972219801</c:v>
                </c:pt>
                <c:pt idx="422" formatCode="0.00">
                  <c:v>7.5977436011081636</c:v>
                </c:pt>
                <c:pt idx="423" formatCode="0.00">
                  <c:v>7.5768289537686542</c:v>
                </c:pt>
                <c:pt idx="424" formatCode="0.00">
                  <c:v>17.442481819014844</c:v>
                </c:pt>
                <c:pt idx="425" formatCode="0.00">
                  <c:v>11.639105179852955</c:v>
                </c:pt>
                <c:pt idx="426" formatCode="0.00">
                  <c:v>12.341666043702332</c:v>
                </c:pt>
                <c:pt idx="427" formatCode="0.00">
                  <c:v>9.8247334709574901</c:v>
                </c:pt>
                <c:pt idx="428" formatCode="0.00">
                  <c:v>8.2615618009675345</c:v>
                </c:pt>
                <c:pt idx="429" formatCode="0.00">
                  <c:v>5.4661247718831447</c:v>
                </c:pt>
                <c:pt idx="430" formatCode="0.00">
                  <c:v>5.448996177348242</c:v>
                </c:pt>
                <c:pt idx="431" formatCode="0.00">
                  <c:v>15.318349796922668</c:v>
                </c:pt>
                <c:pt idx="432" formatCode="0.00">
                  <c:v>9.5185905438160816</c:v>
                </c:pt>
                <c:pt idx="433" formatCode="0.00">
                  <c:v>10.224687297439644</c:v>
                </c:pt>
                <c:pt idx="434" formatCode="0.00">
                  <c:v>7.7112109341906105</c:v>
                </c:pt>
                <c:pt idx="435" formatCode="0.00">
                  <c:v>6.1742332676997407</c:v>
                </c:pt>
                <c:pt idx="436" formatCode="0.00">
                  <c:v>3.3817260343726829</c:v>
                </c:pt>
                <c:pt idx="437" formatCode="0.00">
                  <c:v>3.3674608694166821</c:v>
                </c:pt>
                <c:pt idx="438" formatCode="0.00">
                  <c:v>13.239612927959335</c:v>
                </c:pt>
                <c:pt idx="439" formatCode="0.00">
                  <c:v>7.4425884610404296</c:v>
                </c:pt>
                <c:pt idx="440" formatCode="0.00">
                  <c:v>8.1513576494733826</c:v>
                </c:pt>
                <c:pt idx="441" formatCode="0.00">
                  <c:v>5.640492635884641</c:v>
                </c:pt>
                <c:pt idx="442" formatCode="0.00">
                  <c:v>4.1260431788882954</c:v>
                </c:pt>
                <c:pt idx="443" formatCode="0.00">
                  <c:v>1.3357251290097025</c:v>
                </c:pt>
                <c:pt idx="444" formatCode="0.00">
                  <c:v>1.3235977869410149</c:v>
                </c:pt>
                <c:pt idx="445" formatCode="0.00">
                  <c:v>11.197837283140366</c:v>
                </c:pt>
                <c:pt idx="446" formatCode="0.00">
                  <c:v>5.4028508196749101</c:v>
                </c:pt>
                <c:pt idx="447" formatCode="0.00">
                  <c:v>6.113609504847382</c:v>
                </c:pt>
                <c:pt idx="448" formatCode="0.00">
                  <c:v>3.6046863859715259</c:v>
                </c:pt>
                <c:pt idx="449" formatCode="0.00">
                  <c:v>2.1098142628827361</c:v>
                </c:pt>
                <c:pt idx="450" formatCode="0.00">
                  <c:v>-0.67890650983567014</c:v>
                </c:pt>
                <c:pt idx="451" formatCode="0.00">
                  <c:v>-0.68947689365941756</c:v>
                </c:pt>
                <c:pt idx="452" formatCode="0.00">
                  <c:v>9.1862799481782531</c:v>
                </c:pt>
                <c:pt idx="453" formatCode="0.00">
                  <c:v>3.3927719079789682</c:v>
                </c:pt>
                <c:pt idx="454" formatCode="0.00">
                  <c:v>4.1049707686670445</c:v>
                </c:pt>
                <c:pt idx="455" formatCode="0.00">
                  <c:v>1.5974502370102144</c:v>
                </c:pt>
                <c:pt idx="456" formatCode="0.00">
                  <c:v>0.11974082460254465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CE-48D1-ADB4-47FE6AFB57B4}"/>
            </c:ext>
          </c:extLst>
        </c:ser>
        <c:ser>
          <c:idx val="3"/>
          <c:order val="3"/>
          <c:tx>
            <c:strRef>
              <c:f>'exponential smooth analysis'!$E$1</c:f>
              <c:strCache>
                <c:ptCount val="1"/>
                <c:pt idx="0">
                  <c:v>Upper Confidence Bound(Daily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'exponential smooth analysis'!$A$2:$A$458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'exponential smooth analysis'!$E$2:$E$458</c:f>
              <c:numCache>
                <c:formatCode>General</c:formatCode>
                <c:ptCount val="457"/>
                <c:pt idx="364" formatCode="0.00">
                  <c:v>50</c:v>
                </c:pt>
                <c:pt idx="365" formatCode="0.00">
                  <c:v>61.742307572031876</c:v>
                </c:pt>
                <c:pt idx="366" formatCode="0.00">
                  <c:v>59.663080336552198</c:v>
                </c:pt>
                <c:pt idx="367" formatCode="0.00">
                  <c:v>60.352187543383543</c:v>
                </c:pt>
                <c:pt idx="368" formatCode="0.00">
                  <c:v>70.918661835731228</c:v>
                </c:pt>
                <c:pt idx="369" formatCode="0.00">
                  <c:v>65.807659287994213</c:v>
                </c:pt>
                <c:pt idx="370" formatCode="0.00">
                  <c:v>67.194810166304435</c:v>
                </c:pt>
                <c:pt idx="371" formatCode="0.00">
                  <c:v>65.355271230527634</c:v>
                </c:pt>
                <c:pt idx="372" formatCode="0.00">
                  <c:v>66.166808457810021</c:v>
                </c:pt>
                <c:pt idx="373" formatCode="0.00">
                  <c:v>64.008589659713536</c:v>
                </c:pt>
                <c:pt idx="374" formatCode="0.00">
                  <c:v>64.624207661005769</c:v>
                </c:pt>
                <c:pt idx="375" formatCode="0.00">
                  <c:v>75.122105630395339</c:v>
                </c:pt>
                <c:pt idx="376" formatCode="0.00">
                  <c:v>69.946935650356167</c:v>
                </c:pt>
                <c:pt idx="377" formatCode="0.00">
                  <c:v>71.273894020445738</c:v>
                </c:pt>
                <c:pt idx="378" formatCode="0.00">
                  <c:v>69.377761417025525</c:v>
                </c:pt>
                <c:pt idx="379" formatCode="0.00">
                  <c:v>69.966790320041824</c:v>
                </c:pt>
                <c:pt idx="380" formatCode="0.00">
                  <c:v>67.766998535015148</c:v>
                </c:pt>
                <c:pt idx="381" formatCode="0.00">
                  <c:v>68.34307886542706</c:v>
                </c:pt>
                <c:pt idx="382" formatCode="0.00">
                  <c:v>78.803325217021168</c:v>
                </c:pt>
                <c:pt idx="383" formatCode="0.00">
                  <c:v>73.592255289738858</c:v>
                </c:pt>
                <c:pt idx="384" formatCode="0.00">
                  <c:v>74.884944018927598</c:v>
                </c:pt>
                <c:pt idx="385" formatCode="0.00">
                  <c:v>72.9560621513846</c:v>
                </c:pt>
                <c:pt idx="386" formatCode="0.00">
                  <c:v>73.405638265176123</c:v>
                </c:pt>
                <c:pt idx="387" formatCode="0.00">
                  <c:v>71.180123780728891</c:v>
                </c:pt>
                <c:pt idx="388" formatCode="0.00">
                  <c:v>71.731473220850447</c:v>
                </c:pt>
                <c:pt idx="389" formatCode="0.00">
                  <c:v>82.167925083235232</c:v>
                </c:pt>
                <c:pt idx="390" formatCode="0.00">
                  <c:v>76.933945873175773</c:v>
                </c:pt>
                <c:pt idx="391" formatCode="0.00">
                  <c:v>78.204563141148142</c:v>
                </c:pt>
                <c:pt idx="392" formatCode="0.00">
                  <c:v>76.25440370161769</c:v>
                </c:pt>
                <c:pt idx="393" formatCode="0.00">
                  <c:v>76.606869045498883</c:v>
                </c:pt>
                <c:pt idx="394" formatCode="0.00">
                  <c:v>74.364015509486975</c:v>
                </c:pt>
                <c:pt idx="395" formatCode="0.00">
                  <c:v>74.898587638702168</c:v>
                </c:pt>
                <c:pt idx="396" formatCode="0.00">
                  <c:v>85.318798591897504</c:v>
                </c:pt>
                <c:pt idx="397" formatCode="0.00">
                  <c:v>80.069091090585587</c:v>
                </c:pt>
                <c:pt idx="398" formatCode="0.00">
                  <c:v>81.32447033611335</c:v>
                </c:pt>
                <c:pt idx="399" formatCode="0.00">
                  <c:v>79.359542119189001</c:v>
                </c:pt>
                <c:pt idx="400" formatCode="0.00">
                  <c:v>79.63985735991939</c:v>
                </c:pt>
                <c:pt idx="401" formatCode="0.00">
                  <c:v>77.384699722529803</c:v>
                </c:pt>
                <c:pt idx="402" formatCode="0.00">
                  <c:v>77.907317654495827</c:v>
                </c:pt>
                <c:pt idx="403" formatCode="0.00">
                  <c:v>88.315911089226233</c:v>
                </c:pt>
                <c:pt idx="404" formatCode="0.00">
                  <c:v>83.054910201843086</c:v>
                </c:pt>
                <c:pt idx="405" formatCode="0.00">
                  <c:v>84.299308282182409</c:v>
                </c:pt>
                <c:pt idx="406" formatCode="0.00">
                  <c:v>82.323699803694581</c:v>
                </c:pt>
                <c:pt idx="407" formatCode="0.00">
                  <c:v>82.548000460191304</c:v>
                </c:pt>
                <c:pt idx="408" formatCode="0.00">
                  <c:v>80.283824212238386</c:v>
                </c:pt>
                <c:pt idx="409" formatCode="0.00">
                  <c:v>80.797656240367473</c:v>
                </c:pt>
                <c:pt idx="410" formatCode="0.00">
                  <c:v>91.197688914996817</c:v>
                </c:pt>
                <c:pt idx="411" formatCode="0.00">
                  <c:v>85.928345181135569</c:v>
                </c:pt>
                <c:pt idx="412" formatCode="0.00">
                  <c:v>87.164611412840543</c:v>
                </c:pt>
                <c:pt idx="413" formatCode="0.00">
                  <c:v>85.181075464819145</c:v>
                </c:pt>
                <c:pt idx="414" formatCode="0.00">
                  <c:v>85.360482416472479</c:v>
                </c:pt>
                <c:pt idx="415" formatCode="0.00">
                  <c:v>83.089560949373322</c:v>
                </c:pt>
                <c:pt idx="416" formatCode="0.00">
                  <c:v>83.596810078658848</c:v>
                </c:pt>
                <c:pt idx="417" formatCode="0.00">
                  <c:v>93.990417551028457</c:v>
                </c:pt>
                <c:pt idx="418" formatCode="0.00">
                  <c:v>88.714801865421407</c:v>
                </c:pt>
                <c:pt idx="419" formatCode="0.00">
                  <c:v>89.944945118829992</c:v>
                </c:pt>
                <c:pt idx="420" formatCode="0.00">
                  <c:v>87.95543104976727</c:v>
                </c:pt>
                <c:pt idx="421" formatCode="0.00">
                  <c:v>88.097979799706593</c:v>
                </c:pt>
                <c:pt idx="422" formatCode="0.00">
                  <c:v>85.821956394368868</c:v>
                </c:pt>
                <c:pt idx="423" formatCode="0.00">
                  <c:v>86.324220964153199</c:v>
                </c:pt>
                <c:pt idx="424" formatCode="0.00">
                  <c:v>96.712958281608493</c:v>
                </c:pt>
                <c:pt idx="425" formatCode="0.00">
                  <c:v>91.432583972647336</c:v>
                </c:pt>
                <c:pt idx="426" formatCode="0.00">
                  <c:v>92.658077358004704</c:v>
                </c:pt>
                <c:pt idx="427" formatCode="0.00">
                  <c:v>90.66401949257758</c:v>
                </c:pt>
                <c:pt idx="428" formatCode="0.00">
                  <c:v>90.775730944832418</c:v>
                </c:pt>
                <c:pt idx="429" formatCode="0.00">
                  <c:v>88.495834197467417</c:v>
                </c:pt>
                <c:pt idx="430" formatCode="0.00">
                  <c:v>88.994312714447148</c:v>
                </c:pt>
                <c:pt idx="431" formatCode="0.00">
                  <c:v>99.379349277574192</c:v>
                </c:pt>
                <c:pt idx="432" formatCode="0.00">
                  <c:v>94.095357582557767</c:v>
                </c:pt>
                <c:pt idx="433" formatCode="0.00">
                  <c:v>95.317315078140936</c:v>
                </c:pt>
                <c:pt idx="434" formatCode="0.00">
                  <c:v>93.319801003218004</c:v>
                </c:pt>
                <c:pt idx="435" formatCode="0.00">
                  <c:v>93.405318451973727</c:v>
                </c:pt>
                <c:pt idx="436" formatCode="0.00">
                  <c:v>91.12249190885143</c:v>
                </c:pt>
                <c:pt idx="437" formatCode="0.00">
                  <c:v>91.618106996252237</c:v>
                </c:pt>
                <c:pt idx="438" formatCode="0.00">
                  <c:v>102.00034512041108</c:v>
                </c:pt>
                <c:pt idx="439" formatCode="0.00">
                  <c:v>96.713618639206942</c:v>
                </c:pt>
                <c:pt idx="440" formatCode="0.00">
                  <c:v>97.932903699980727</c:v>
                </c:pt>
                <c:pt idx="441" formatCode="0.00">
                  <c:v>95.93277827539751</c:v>
                </c:pt>
                <c:pt idx="442" formatCode="0.00">
                  <c:v>95.995767514658723</c:v>
                </c:pt>
                <c:pt idx="443" formatCode="0.00">
                  <c:v>93.710751788087933</c:v>
                </c:pt>
                <c:pt idx="444" formatCode="0.00">
                  <c:v>94.204229052601448</c:v>
                </c:pt>
                <c:pt idx="445" formatCode="0.00">
                  <c:v>104.58437973910358</c:v>
                </c:pt>
                <c:pt idx="446" formatCode="0.00">
                  <c:v>99.295615254446005</c:v>
                </c:pt>
                <c:pt idx="447" formatCode="0.00">
                  <c:v>100.51291081848026</c:v>
                </c:pt>
                <c:pt idx="448" formatCode="0.00">
                  <c:v>98.510843499184148</c:v>
                </c:pt>
                <c:pt idx="449" formatCode="0.00">
                  <c:v>98.554255404537813</c:v>
                </c:pt>
                <c:pt idx="450" formatCode="0.00">
                  <c:v>96.267642400806849</c:v>
                </c:pt>
                <c:pt idx="451" formatCode="0.00">
                  <c:v>96.759562707075418</c:v>
                </c:pt>
                <c:pt idx="452" formatCode="0.00">
                  <c:v>107.13819604793922</c:v>
                </c:pt>
                <c:pt idx="453" formatCode="0.00">
                  <c:v>101.84795314001548</c:v>
                </c:pt>
                <c:pt idx="454" formatCode="0.00">
                  <c:v>103.06380852853414</c:v>
                </c:pt>
                <c:pt idx="455" formatCode="0.00">
                  <c:v>101.060338622019</c:v>
                </c:pt>
                <c:pt idx="456" formatCode="0.00">
                  <c:v>101.08658781669155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CE-48D1-ADB4-47FE6AFB5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764943"/>
        <c:axId val="302763503"/>
      </c:lineChart>
      <c:catAx>
        <c:axId val="30276494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763503"/>
        <c:crosses val="autoZero"/>
        <c:auto val="1"/>
        <c:lblAlgn val="ctr"/>
        <c:lblOffset val="100"/>
        <c:noMultiLvlLbl val="0"/>
      </c:catAx>
      <c:valAx>
        <c:axId val="30276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76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624890638670165E-2"/>
          <c:y val="0.20050925925925925"/>
          <c:w val="0.83687139107611552"/>
          <c:h val="0.57342592592592589"/>
        </c:manualLayout>
      </c:layout>
      <c:lineChart>
        <c:grouping val="stacked"/>
        <c:varyColors val="0"/>
        <c:ser>
          <c:idx val="0"/>
          <c:order val="0"/>
          <c:tx>
            <c:strRef>
              <c:f>'Exponential smoothing '!$B$1</c:f>
              <c:strCache>
                <c:ptCount val="1"/>
                <c:pt idx="0">
                  <c:v>Daily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'Exponential smoothing '!$A$2:$A$1000</c:f>
              <c:numCache>
                <c:formatCode>d/m/yyyy</c:formatCode>
                <c:ptCount val="999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cat>
          <c:val>
            <c:numRef>
              <c:f>'Exponential smoothing '!$B$2:$B$1000</c:f>
              <c:numCache>
                <c:formatCode>General</c:formatCode>
                <c:ptCount val="999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5-4E5E-843E-8EE998D06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995615"/>
        <c:axId val="448996095"/>
      </c:lineChart>
      <c:dateAx>
        <c:axId val="448995615"/>
        <c:scaling>
          <c:orientation val="minMax"/>
        </c:scaling>
        <c:delete val="0"/>
        <c:axPos val="b"/>
        <c:numFmt formatCode="d/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96095"/>
        <c:crosses val="autoZero"/>
        <c:auto val="1"/>
        <c:lblOffset val="100"/>
        <c:baseTimeUnit val="days"/>
      </c:dateAx>
      <c:valAx>
        <c:axId val="44899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9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'Linear Forecast'!$C$1</c:f>
              <c:strCache>
                <c:ptCount val="1"/>
                <c:pt idx="0">
                  <c:v>Daily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'Linear Forecast'!$B$2:$B$366</c:f>
              <c:numCache>
                <c:formatCode>d/m/yyyy</c:formatCode>
                <c:ptCount val="365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cat>
          <c:val>
            <c:numRef>
              <c:f>'Linear Forecast'!$C$2:$C$366</c:f>
              <c:numCache>
                <c:formatCode>General</c:formatCode>
                <c:ptCount val="365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9-447A-8FC1-E5E8F6CDD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029695"/>
        <c:axId val="449021535"/>
      </c:lineChart>
      <c:dateAx>
        <c:axId val="449029695"/>
        <c:scaling>
          <c:orientation val="minMax"/>
        </c:scaling>
        <c:delete val="0"/>
        <c:axPos val="b"/>
        <c:numFmt formatCode="d/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21535"/>
        <c:crosses val="autoZero"/>
        <c:auto val="1"/>
        <c:lblOffset val="100"/>
        <c:baseTimeUnit val="days"/>
      </c:dateAx>
      <c:valAx>
        <c:axId val="44902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2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SLR!$D$1</c:f>
              <c:strCache>
                <c:ptCount val="1"/>
                <c:pt idx="0">
                  <c:v>Daily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SLR!$C$2:$C$1000</c:f>
              <c:numCache>
                <c:formatCode>d/m/yyyy</c:formatCode>
                <c:ptCount val="999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cat>
          <c:val>
            <c:numRef>
              <c:f>SLR!$D$2:$D$1000</c:f>
              <c:numCache>
                <c:formatCode>General</c:formatCode>
                <c:ptCount val="999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0-488F-835F-36EC8516F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3202127"/>
        <c:axId val="310140607"/>
      </c:areaChart>
      <c:dateAx>
        <c:axId val="2143202127"/>
        <c:scaling>
          <c:orientation val="minMax"/>
        </c:scaling>
        <c:delete val="0"/>
        <c:axPos val="b"/>
        <c:numFmt formatCode="d/m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140607"/>
        <c:crosses val="autoZero"/>
        <c:auto val="1"/>
        <c:lblOffset val="100"/>
        <c:baseTimeUnit val="days"/>
      </c:dateAx>
      <c:valAx>
        <c:axId val="3101406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202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428624</xdr:colOff>
      <xdr:row>13</xdr:row>
      <xdr:rowOff>114299</xdr:rowOff>
    </xdr:from>
    <xdr:to>
      <xdr:col>8</xdr:col>
      <xdr:colOff>638173</xdr:colOff>
      <xdr:row>26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33C643-F222-B2B1-C0D7-105797B37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453838</xdr:colOff>
      <xdr:row>11</xdr:row>
      <xdr:rowOff>89648</xdr:rowOff>
    </xdr:from>
    <xdr:to>
      <xdr:col>11</xdr:col>
      <xdr:colOff>778808</xdr:colOff>
      <xdr:row>22</xdr:row>
      <xdr:rowOff>145678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350F3-04CB-ED22-80FC-A6FECE0B7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10</xdr:row>
      <xdr:rowOff>109538</xdr:rowOff>
    </xdr:from>
    <xdr:to>
      <xdr:col>13</xdr:col>
      <xdr:colOff>251733</xdr:colOff>
      <xdr:row>28</xdr:row>
      <xdr:rowOff>54430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BFF566-30F8-D2DB-3871-B6BB09635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695325</xdr:colOff>
      <xdr:row>1</xdr:row>
      <xdr:rowOff>20410</xdr:rowOff>
    </xdr:from>
    <xdr:ext cx="7915275" cy="402499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27629" y="217714"/>
          <a:ext cx="7915275" cy="4024993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384401</xdr:colOff>
      <xdr:row>13</xdr:row>
      <xdr:rowOff>128586</xdr:rowOff>
    </xdr:from>
    <xdr:to>
      <xdr:col>12</xdr:col>
      <xdr:colOff>568097</xdr:colOff>
      <xdr:row>27</xdr:row>
      <xdr:rowOff>109536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E69653-D3A7-F951-5E4F-10D5FD2B5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1926645</xdr:colOff>
      <xdr:row>10</xdr:row>
      <xdr:rowOff>22513</xdr:rowOff>
    </xdr:from>
    <xdr:to>
      <xdr:col>10</xdr:col>
      <xdr:colOff>844260</xdr:colOff>
      <xdr:row>23</xdr:row>
      <xdr:rowOff>176644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2BFE2F-4D95-D24F-436D-BA3986575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558508</xdr:colOff>
      <xdr:row>6</xdr:row>
      <xdr:rowOff>25976</xdr:rowOff>
    </xdr:from>
    <xdr:to>
      <xdr:col>9</xdr:col>
      <xdr:colOff>164521</xdr:colOff>
      <xdr:row>30</xdr:row>
      <xdr:rowOff>-1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DE67C5-CC02-5AAC-1F4D-4766D0ECD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A5EA1FC-FC3F-4D3A-9F2F-40DAED23906E}" name="Table16" displayName="Table16" ref="A1:E458" totalsRowShown="0">
  <autoFilter ref="A1:E458" xr:uid="{EA5EA1FC-FC3F-4D3A-9F2F-40DAED23906E}"/>
  <tableColumns count="5">
    <tableColumn id="1" xr3:uid="{AE999102-EEBC-4727-B612-15E34E9A3E4E}" name="Date" dataDxfId="3"/>
    <tableColumn id="2" xr3:uid="{FB205245-4CA4-4FF3-BCA2-5413FBBBE858}" name="Daily sales"/>
    <tableColumn id="3" xr3:uid="{9921860C-5403-418E-94E3-4CB0BEFC739B}" name="Forecast(Daily sales)">
      <calculatedColumnFormula>_xlfn.FORECAST.ETS(A2,$B$2:$B$366,$A$2:$A$366,1,1)</calculatedColumnFormula>
    </tableColumn>
    <tableColumn id="4" xr3:uid="{D519EC1A-22DF-4712-A86B-3895CB1743A0}" name="Lower Confidence Bound(Daily sales)" dataDxfId="2">
      <calculatedColumnFormula>C2-_xlfn.FORECAST.ETS.CONFINT(A2,$B$2:$B$366,$A$2:$A$366,0.95,1,1)</calculatedColumnFormula>
    </tableColumn>
    <tableColumn id="5" xr3:uid="{9033240C-A911-4C93-83AA-3DBA4E82B71A}" name="Upper Confidence Bound(Daily sales)" dataDxfId="1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9E875C4-F809-401D-89C7-5F1003AE6312}" name="Table17" displayName="Table17" ref="G1:H8" totalsRowShown="0">
  <autoFilter ref="G1:H8" xr:uid="{29E875C4-F809-401D-89C7-5F1003AE6312}"/>
  <tableColumns count="2">
    <tableColumn id="1" xr3:uid="{83DC07DD-5CAC-4D65-80A1-2A0E3E124D01}" name="Statistic"/>
    <tableColumn id="2" xr3:uid="{45AA97CA-4C8B-4312-9B14-3D7910855304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00"/>
  <sheetViews>
    <sheetView zoomScale="55" zoomScaleNormal="55" workbookViewId="0">
      <selection activeCell="A366" sqref="A1:B366"/>
    </sheetView>
  </sheetViews>
  <sheetFormatPr defaultColWidth="11.25" defaultRowHeight="15" customHeight="1"/>
  <cols>
    <col min="1" max="1" width="11" customWidth="1"/>
    <col min="2" max="2" width="11.6875" customWidth="1"/>
    <col min="3" max="3" width="18.625" customWidth="1"/>
    <col min="4" max="4" width="14.625" customWidth="1"/>
    <col min="5" max="5" width="17.3125" customWidth="1"/>
    <col min="6" max="6" width="23.75" customWidth="1"/>
    <col min="7" max="7" width="27.375" customWidth="1"/>
    <col min="8" max="10" width="11" customWidth="1"/>
    <col min="11" max="11" width="19.312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G2" s="5"/>
    </row>
    <row r="3" spans="1:11" ht="15.75" customHeight="1">
      <c r="A3" s="3">
        <v>21552</v>
      </c>
      <c r="B3" s="4">
        <v>32</v>
      </c>
      <c r="G3" s="5"/>
    </row>
    <row r="4" spans="1:11" ht="15.75" customHeight="1">
      <c r="A4" s="3">
        <v>21553</v>
      </c>
      <c r="B4" s="4">
        <v>30</v>
      </c>
      <c r="G4" s="5"/>
    </row>
    <row r="5" spans="1:11" ht="15.75" customHeight="1">
      <c r="A5" s="3">
        <v>21554</v>
      </c>
      <c r="B5" s="4">
        <v>31</v>
      </c>
      <c r="G5" s="5"/>
    </row>
    <row r="6" spans="1:11" ht="15.75" customHeight="1">
      <c r="A6" s="3">
        <v>21555</v>
      </c>
      <c r="B6" s="4">
        <v>44</v>
      </c>
      <c r="G6" s="5"/>
    </row>
    <row r="7" spans="1:11" ht="15.75" customHeight="1">
      <c r="A7" s="3">
        <v>21556</v>
      </c>
      <c r="B7" s="4">
        <v>29</v>
      </c>
      <c r="G7" s="5"/>
    </row>
    <row r="8" spans="1:11" ht="15.75" customHeight="1">
      <c r="A8" s="3">
        <v>21557</v>
      </c>
      <c r="B8" s="4">
        <v>45</v>
      </c>
      <c r="G8" s="5"/>
      <c r="J8" s="6" t="s">
        <v>7</v>
      </c>
      <c r="K8" s="7"/>
    </row>
    <row r="9" spans="1:11" ht="15.75" customHeight="1">
      <c r="A9" s="3">
        <v>21558</v>
      </c>
      <c r="B9" s="4">
        <v>43</v>
      </c>
      <c r="G9" s="5"/>
      <c r="J9" s="2" t="s">
        <v>8</v>
      </c>
      <c r="K9" s="8"/>
    </row>
    <row r="10" spans="1:11" ht="15.75" customHeight="1">
      <c r="A10" s="3">
        <v>21559</v>
      </c>
      <c r="B10" s="4">
        <v>38</v>
      </c>
      <c r="G10" s="5"/>
      <c r="J10" s="2" t="s">
        <v>9</v>
      </c>
      <c r="K10" s="5"/>
    </row>
    <row r="11" spans="1:11" ht="15.75" customHeight="1" thickBot="1">
      <c r="A11" s="3">
        <v>21560</v>
      </c>
      <c r="B11" s="4">
        <v>27</v>
      </c>
      <c r="G11" s="5"/>
      <c r="J11" s="9" t="s">
        <v>10</v>
      </c>
      <c r="K11" s="10"/>
    </row>
    <row r="12" spans="1:11" ht="15.75" customHeight="1" thickTop="1">
      <c r="A12" s="3">
        <v>21561</v>
      </c>
      <c r="B12" s="4">
        <v>38</v>
      </c>
      <c r="G12" s="5"/>
    </row>
    <row r="13" spans="1:11" ht="15.75" customHeight="1">
      <c r="A13" s="3">
        <v>21562</v>
      </c>
      <c r="B13" s="4">
        <v>33</v>
      </c>
      <c r="G13" s="5"/>
    </row>
    <row r="14" spans="1:11" ht="15.75" customHeight="1">
      <c r="A14" s="3">
        <v>21563</v>
      </c>
      <c r="B14" s="4">
        <v>55</v>
      </c>
      <c r="G14" s="5"/>
    </row>
    <row r="15" spans="1:11" ht="15.75" customHeight="1">
      <c r="A15" s="3">
        <v>21564</v>
      </c>
      <c r="B15" s="4">
        <v>47</v>
      </c>
      <c r="G15" s="5"/>
    </row>
    <row r="16" spans="1:11" ht="15.75" customHeight="1">
      <c r="A16" s="3">
        <v>21565</v>
      </c>
      <c r="B16" s="4">
        <v>45</v>
      </c>
      <c r="G16" s="5"/>
    </row>
    <row r="17" spans="1:7" ht="15.75" customHeight="1">
      <c r="A17" s="3">
        <v>21566</v>
      </c>
      <c r="B17" s="4">
        <v>37</v>
      </c>
      <c r="G17" s="5"/>
    </row>
    <row r="18" spans="1:7" ht="15.75" customHeight="1">
      <c r="A18" s="3">
        <v>21567</v>
      </c>
      <c r="B18" s="4">
        <v>50</v>
      </c>
      <c r="G18" s="5"/>
    </row>
    <row r="19" spans="1:7" ht="15.75" customHeight="1">
      <c r="A19" s="3">
        <v>21568</v>
      </c>
      <c r="B19" s="4">
        <v>43</v>
      </c>
      <c r="G19" s="5"/>
    </row>
    <row r="20" spans="1:7" ht="15.75" customHeight="1">
      <c r="A20" s="3">
        <v>21569</v>
      </c>
      <c r="B20" s="4">
        <v>41</v>
      </c>
      <c r="G20" s="5"/>
    </row>
    <row r="21" spans="1:7" ht="15.75" customHeight="1">
      <c r="A21" s="3">
        <v>21570</v>
      </c>
      <c r="B21" s="4">
        <v>52</v>
      </c>
      <c r="G21" s="5"/>
    </row>
    <row r="22" spans="1:7" ht="15.75" customHeight="1">
      <c r="A22" s="3">
        <v>21571</v>
      </c>
      <c r="B22" s="4">
        <v>34</v>
      </c>
      <c r="G22" s="5"/>
    </row>
    <row r="23" spans="1:7" ht="15.75" customHeight="1">
      <c r="A23" s="3">
        <v>21572</v>
      </c>
      <c r="B23" s="4">
        <v>53</v>
      </c>
      <c r="G23" s="5"/>
    </row>
    <row r="24" spans="1:7" ht="15.75" customHeight="1">
      <c r="A24" s="3">
        <v>21573</v>
      </c>
      <c r="B24" s="4">
        <v>39</v>
      </c>
      <c r="G24" s="5"/>
    </row>
    <row r="25" spans="1:7" ht="15.75" customHeight="1">
      <c r="A25" s="3">
        <v>21574</v>
      </c>
      <c r="B25" s="4">
        <v>32</v>
      </c>
      <c r="G25" s="5"/>
    </row>
    <row r="26" spans="1:7" ht="15.75" customHeight="1">
      <c r="A26" s="3">
        <v>21575</v>
      </c>
      <c r="B26" s="4">
        <v>37</v>
      </c>
      <c r="G26" s="5"/>
    </row>
    <row r="27" spans="1:7" ht="15.75" customHeight="1">
      <c r="A27" s="3">
        <v>21576</v>
      </c>
      <c r="B27" s="4">
        <v>43</v>
      </c>
      <c r="G27" s="5"/>
    </row>
    <row r="28" spans="1:7" ht="15.75" customHeight="1">
      <c r="A28" s="3">
        <v>21577</v>
      </c>
      <c r="B28" s="4">
        <v>39</v>
      </c>
      <c r="G28" s="5"/>
    </row>
    <row r="29" spans="1:7" ht="15.75" customHeight="1">
      <c r="A29" s="3">
        <v>21578</v>
      </c>
      <c r="B29" s="4">
        <v>35</v>
      </c>
      <c r="G29" s="5"/>
    </row>
    <row r="30" spans="1:7" ht="15.75" customHeight="1">
      <c r="A30" s="3">
        <v>21579</v>
      </c>
      <c r="B30" s="4">
        <v>44</v>
      </c>
      <c r="G30" s="5"/>
    </row>
    <row r="31" spans="1:7" ht="15.75" customHeight="1">
      <c r="A31" s="3">
        <v>21580</v>
      </c>
      <c r="B31" s="4">
        <v>38</v>
      </c>
      <c r="G31" s="5"/>
    </row>
    <row r="32" spans="1:7" ht="15.75" customHeight="1">
      <c r="A32" s="3">
        <v>21581</v>
      </c>
      <c r="B32" s="4">
        <v>24</v>
      </c>
      <c r="G32" s="5"/>
    </row>
    <row r="33" spans="1:7" ht="15.75" customHeight="1">
      <c r="A33" s="3">
        <v>21582</v>
      </c>
      <c r="B33" s="4">
        <v>23</v>
      </c>
      <c r="G33" s="5"/>
    </row>
    <row r="34" spans="1:7" ht="15.75" customHeight="1">
      <c r="A34" s="3">
        <v>21583</v>
      </c>
      <c r="B34" s="4">
        <v>31</v>
      </c>
      <c r="G34" s="5"/>
    </row>
    <row r="35" spans="1:7" ht="15.75" customHeight="1">
      <c r="A35" s="3">
        <v>21584</v>
      </c>
      <c r="B35" s="4">
        <v>44</v>
      </c>
      <c r="G35" s="5"/>
    </row>
    <row r="36" spans="1:7" ht="15.75" customHeight="1">
      <c r="A36" s="3">
        <v>21585</v>
      </c>
      <c r="B36" s="4">
        <v>38</v>
      </c>
      <c r="G36" s="5"/>
    </row>
    <row r="37" spans="1:7" ht="15.75" customHeight="1">
      <c r="A37" s="3">
        <v>21586</v>
      </c>
      <c r="B37" s="4">
        <v>50</v>
      </c>
      <c r="G37" s="5"/>
    </row>
    <row r="38" spans="1:7" ht="15.75" customHeight="1">
      <c r="A38" s="3">
        <v>21587</v>
      </c>
      <c r="B38" s="4">
        <v>38</v>
      </c>
      <c r="G38" s="5"/>
    </row>
    <row r="39" spans="1:7" ht="15.75" customHeight="1">
      <c r="A39" s="3">
        <v>21588</v>
      </c>
      <c r="B39" s="4">
        <v>51</v>
      </c>
      <c r="G39" s="5"/>
    </row>
    <row r="40" spans="1:7" ht="15.75" customHeight="1">
      <c r="A40" s="3">
        <v>21589</v>
      </c>
      <c r="B40" s="4">
        <v>31</v>
      </c>
      <c r="G40" s="5"/>
    </row>
    <row r="41" spans="1:7" ht="15.75" customHeight="1">
      <c r="A41" s="3">
        <v>21590</v>
      </c>
      <c r="B41" s="4">
        <v>31</v>
      </c>
      <c r="G41" s="5"/>
    </row>
    <row r="42" spans="1:7" ht="15.75" customHeight="1">
      <c r="A42" s="3">
        <v>21591</v>
      </c>
      <c r="B42" s="4">
        <v>51</v>
      </c>
      <c r="G42" s="5"/>
    </row>
    <row r="43" spans="1:7" ht="15.75" customHeight="1">
      <c r="A43" s="3">
        <v>21592</v>
      </c>
      <c r="B43" s="4">
        <v>36</v>
      </c>
      <c r="G43" s="5"/>
    </row>
    <row r="44" spans="1:7" ht="15.75" customHeight="1">
      <c r="A44" s="3">
        <v>21593</v>
      </c>
      <c r="B44" s="4">
        <v>45</v>
      </c>
      <c r="G44" s="5"/>
    </row>
    <row r="45" spans="1:7" ht="15.75" customHeight="1">
      <c r="A45" s="3">
        <v>21594</v>
      </c>
      <c r="B45" s="4">
        <v>51</v>
      </c>
      <c r="G45" s="5"/>
    </row>
    <row r="46" spans="1:7" ht="15.75" customHeight="1">
      <c r="A46" s="3">
        <v>21595</v>
      </c>
      <c r="B46" s="4">
        <v>34</v>
      </c>
      <c r="G46" s="5"/>
    </row>
    <row r="47" spans="1:7" ht="15.75" customHeight="1">
      <c r="A47" s="3">
        <v>21596</v>
      </c>
      <c r="B47" s="4">
        <v>52</v>
      </c>
      <c r="G47" s="5"/>
    </row>
    <row r="48" spans="1:7" ht="15.75" customHeight="1">
      <c r="A48" s="3">
        <v>21597</v>
      </c>
      <c r="B48" s="4">
        <v>47</v>
      </c>
      <c r="G48" s="5"/>
    </row>
    <row r="49" spans="1:7" ht="15.75" customHeight="1">
      <c r="A49" s="3">
        <v>21598</v>
      </c>
      <c r="B49" s="4">
        <v>45</v>
      </c>
      <c r="G49" s="5"/>
    </row>
    <row r="50" spans="1:7" ht="15.75" customHeight="1">
      <c r="A50" s="3">
        <v>21599</v>
      </c>
      <c r="B50" s="4">
        <v>46</v>
      </c>
      <c r="G50" s="5"/>
    </row>
    <row r="51" spans="1:7" ht="15.75" customHeight="1">
      <c r="A51" s="3">
        <v>21600</v>
      </c>
      <c r="B51" s="4">
        <v>39</v>
      </c>
      <c r="G51" s="5"/>
    </row>
    <row r="52" spans="1:7" ht="15.75" customHeight="1">
      <c r="A52" s="3">
        <v>21601</v>
      </c>
      <c r="B52" s="4">
        <v>48</v>
      </c>
      <c r="G52" s="5"/>
    </row>
    <row r="53" spans="1:7" ht="15.75" customHeight="1">
      <c r="A53" s="3">
        <v>21602</v>
      </c>
      <c r="B53" s="4">
        <v>37</v>
      </c>
      <c r="G53" s="5"/>
    </row>
    <row r="54" spans="1:7" ht="15.75" customHeight="1">
      <c r="A54" s="3">
        <v>21603</v>
      </c>
      <c r="B54" s="4">
        <v>35</v>
      </c>
      <c r="G54" s="5"/>
    </row>
    <row r="55" spans="1:7" ht="15.75" customHeight="1">
      <c r="A55" s="3">
        <v>21604</v>
      </c>
      <c r="B55" s="4">
        <v>52</v>
      </c>
      <c r="G55" s="5"/>
    </row>
    <row r="56" spans="1:7" ht="15.75" customHeight="1">
      <c r="A56" s="3">
        <v>21605</v>
      </c>
      <c r="B56" s="4">
        <v>42</v>
      </c>
      <c r="G56" s="5"/>
    </row>
    <row r="57" spans="1:7" ht="15.75" customHeight="1">
      <c r="A57" s="3">
        <v>21606</v>
      </c>
      <c r="B57" s="4">
        <v>45</v>
      </c>
      <c r="G57" s="5"/>
    </row>
    <row r="58" spans="1:7" ht="15.75" customHeight="1">
      <c r="A58" s="3">
        <v>21607</v>
      </c>
      <c r="B58" s="4">
        <v>39</v>
      </c>
      <c r="G58" s="5"/>
    </row>
    <row r="59" spans="1:7" ht="15.75" customHeight="1">
      <c r="A59" s="3">
        <v>21608</v>
      </c>
      <c r="B59" s="4">
        <v>37</v>
      </c>
      <c r="G59" s="5"/>
    </row>
    <row r="60" spans="1:7" ht="15.75" customHeight="1">
      <c r="A60" s="3">
        <v>21609</v>
      </c>
      <c r="B60" s="4">
        <v>30</v>
      </c>
      <c r="G60" s="5"/>
    </row>
    <row r="61" spans="1:7" ht="15.75" customHeight="1">
      <c r="A61" s="3">
        <v>21610</v>
      </c>
      <c r="B61" s="4">
        <v>35</v>
      </c>
      <c r="G61" s="5"/>
    </row>
    <row r="62" spans="1:7" ht="15.75" customHeight="1">
      <c r="A62" s="3">
        <v>21611</v>
      </c>
      <c r="B62" s="4">
        <v>28</v>
      </c>
      <c r="G62" s="5"/>
    </row>
    <row r="63" spans="1:7" ht="15.75" customHeight="1">
      <c r="A63" s="3">
        <v>21612</v>
      </c>
      <c r="B63" s="4">
        <v>45</v>
      </c>
      <c r="G63" s="5"/>
    </row>
    <row r="64" spans="1:7" ht="15.75" customHeight="1">
      <c r="A64" s="3">
        <v>21613</v>
      </c>
      <c r="B64" s="4">
        <v>34</v>
      </c>
      <c r="G64" s="5"/>
    </row>
    <row r="65" spans="1:7" ht="15.75" customHeight="1">
      <c r="A65" s="3">
        <v>21614</v>
      </c>
      <c r="B65" s="4">
        <v>36</v>
      </c>
      <c r="G65" s="5"/>
    </row>
    <row r="66" spans="1:7" ht="15.75" customHeight="1">
      <c r="A66" s="3">
        <v>21615</v>
      </c>
      <c r="B66" s="4">
        <v>50</v>
      </c>
      <c r="G66" s="5"/>
    </row>
    <row r="67" spans="1:7" ht="15.75" customHeight="1">
      <c r="A67" s="3">
        <v>21616</v>
      </c>
      <c r="B67" s="4">
        <v>44</v>
      </c>
      <c r="G67" s="5"/>
    </row>
    <row r="68" spans="1:7" ht="15.75" customHeight="1">
      <c r="A68" s="3">
        <v>21617</v>
      </c>
      <c r="B68" s="4">
        <v>39</v>
      </c>
      <c r="G68" s="5"/>
    </row>
    <row r="69" spans="1:7" ht="15.75" customHeight="1">
      <c r="A69" s="3">
        <v>21618</v>
      </c>
      <c r="B69" s="4">
        <v>32</v>
      </c>
      <c r="G69" s="5"/>
    </row>
    <row r="70" spans="1:7" ht="15.75" customHeight="1">
      <c r="A70" s="3">
        <v>21619</v>
      </c>
      <c r="B70" s="4">
        <v>39</v>
      </c>
      <c r="G70" s="5"/>
    </row>
    <row r="71" spans="1:7" ht="15.75" customHeight="1">
      <c r="A71" s="3">
        <v>21620</v>
      </c>
      <c r="B71" s="4">
        <v>45</v>
      </c>
      <c r="G71" s="5"/>
    </row>
    <row r="72" spans="1:7" ht="15.75" customHeight="1">
      <c r="A72" s="3">
        <v>21621</v>
      </c>
      <c r="B72" s="4">
        <v>43</v>
      </c>
      <c r="G72" s="5"/>
    </row>
    <row r="73" spans="1:7" ht="15.75" customHeight="1">
      <c r="A73" s="3">
        <v>21622</v>
      </c>
      <c r="B73" s="4">
        <v>39</v>
      </c>
      <c r="G73" s="5"/>
    </row>
    <row r="74" spans="1:7" ht="15.75" customHeight="1">
      <c r="A74" s="3">
        <v>21623</v>
      </c>
      <c r="B74" s="4">
        <v>31</v>
      </c>
      <c r="G74" s="5"/>
    </row>
    <row r="75" spans="1:7" ht="15.75" customHeight="1">
      <c r="A75" s="3">
        <v>21624</v>
      </c>
      <c r="B75" s="4">
        <v>27</v>
      </c>
      <c r="G75" s="5"/>
    </row>
    <row r="76" spans="1:7" ht="15.75" customHeight="1">
      <c r="A76" s="3">
        <v>21625</v>
      </c>
      <c r="B76" s="4">
        <v>30</v>
      </c>
      <c r="G76" s="5"/>
    </row>
    <row r="77" spans="1:7" ht="15.75" customHeight="1">
      <c r="A77" s="3">
        <v>21626</v>
      </c>
      <c r="B77" s="4">
        <v>42</v>
      </c>
      <c r="G77" s="5"/>
    </row>
    <row r="78" spans="1:7" ht="15.75" customHeight="1">
      <c r="A78" s="3">
        <v>21627</v>
      </c>
      <c r="B78" s="4">
        <v>46</v>
      </c>
      <c r="G78" s="5"/>
    </row>
    <row r="79" spans="1:7" ht="15.75" customHeight="1">
      <c r="A79" s="3">
        <v>21628</v>
      </c>
      <c r="B79" s="4">
        <v>41</v>
      </c>
      <c r="G79" s="5"/>
    </row>
    <row r="80" spans="1:7" ht="15.75" customHeight="1">
      <c r="A80" s="3">
        <v>21629</v>
      </c>
      <c r="B80" s="4">
        <v>36</v>
      </c>
      <c r="G80" s="5"/>
    </row>
    <row r="81" spans="1:7" ht="15.75" customHeight="1">
      <c r="A81" s="3">
        <v>21630</v>
      </c>
      <c r="B81" s="4">
        <v>45</v>
      </c>
      <c r="G81" s="5"/>
    </row>
    <row r="82" spans="1:7" ht="15.75" customHeight="1">
      <c r="A82" s="3">
        <v>21631</v>
      </c>
      <c r="B82" s="4">
        <v>46</v>
      </c>
      <c r="G82" s="5"/>
    </row>
    <row r="83" spans="1:7" ht="15.75" customHeight="1">
      <c r="A83" s="3">
        <v>21632</v>
      </c>
      <c r="B83" s="4">
        <v>43</v>
      </c>
      <c r="G83" s="5"/>
    </row>
    <row r="84" spans="1:7" ht="15.75" customHeight="1">
      <c r="A84" s="3">
        <v>21633</v>
      </c>
      <c r="B84" s="4">
        <v>38</v>
      </c>
      <c r="G84" s="5"/>
    </row>
    <row r="85" spans="1:7" ht="15.75" customHeight="1">
      <c r="A85" s="3">
        <v>21634</v>
      </c>
      <c r="B85" s="4">
        <v>34</v>
      </c>
      <c r="G85" s="5"/>
    </row>
    <row r="86" spans="1:7" ht="15.75" customHeight="1">
      <c r="A86" s="3">
        <v>21635</v>
      </c>
      <c r="B86" s="4">
        <v>35</v>
      </c>
      <c r="G86" s="5"/>
    </row>
    <row r="87" spans="1:7" ht="15.75" customHeight="1">
      <c r="A87" s="3">
        <v>21636</v>
      </c>
      <c r="B87" s="4">
        <v>56</v>
      </c>
      <c r="G87" s="5"/>
    </row>
    <row r="88" spans="1:7" ht="15.75" customHeight="1">
      <c r="A88" s="3">
        <v>21637</v>
      </c>
      <c r="B88" s="4">
        <v>36</v>
      </c>
      <c r="G88" s="5"/>
    </row>
    <row r="89" spans="1:7" ht="15.75" customHeight="1">
      <c r="A89" s="3">
        <v>21638</v>
      </c>
      <c r="B89" s="4">
        <v>32</v>
      </c>
      <c r="G89" s="5"/>
    </row>
    <row r="90" spans="1:7" ht="15.75" customHeight="1">
      <c r="A90" s="3">
        <v>21639</v>
      </c>
      <c r="B90" s="4">
        <v>50</v>
      </c>
      <c r="G90" s="5"/>
    </row>
    <row r="91" spans="1:7" ht="15.75" customHeight="1">
      <c r="A91" s="3">
        <v>21640</v>
      </c>
      <c r="B91" s="4">
        <v>41</v>
      </c>
      <c r="G91" s="5"/>
    </row>
    <row r="92" spans="1:7" ht="15.75" customHeight="1">
      <c r="A92" s="3">
        <v>21641</v>
      </c>
      <c r="B92" s="4">
        <v>39</v>
      </c>
      <c r="G92" s="5"/>
    </row>
    <row r="93" spans="1:7" ht="15.75" customHeight="1">
      <c r="A93" s="3">
        <v>21642</v>
      </c>
      <c r="B93" s="4">
        <v>41</v>
      </c>
      <c r="G93" s="5"/>
    </row>
    <row r="94" spans="1:7" ht="15.75" customHeight="1">
      <c r="A94" s="3">
        <v>21643</v>
      </c>
      <c r="B94" s="4">
        <v>47</v>
      </c>
      <c r="G94" s="5"/>
    </row>
    <row r="95" spans="1:7" ht="15.75" customHeight="1">
      <c r="A95" s="3">
        <v>21644</v>
      </c>
      <c r="B95" s="4">
        <v>34</v>
      </c>
      <c r="G95" s="5"/>
    </row>
    <row r="96" spans="1:7" ht="15.75" customHeight="1">
      <c r="A96" s="3">
        <v>21645</v>
      </c>
      <c r="B96" s="4">
        <v>36</v>
      </c>
      <c r="G96" s="5"/>
    </row>
    <row r="97" spans="1:7" ht="15.75" customHeight="1">
      <c r="A97" s="3">
        <v>21646</v>
      </c>
      <c r="B97" s="4">
        <v>33</v>
      </c>
      <c r="G97" s="5"/>
    </row>
    <row r="98" spans="1:7" ht="15.75" customHeight="1">
      <c r="A98" s="3">
        <v>21647</v>
      </c>
      <c r="B98" s="4">
        <v>35</v>
      </c>
      <c r="G98" s="5"/>
    </row>
    <row r="99" spans="1:7" ht="15.75" customHeight="1">
      <c r="A99" s="3">
        <v>21648</v>
      </c>
      <c r="B99" s="4">
        <v>38</v>
      </c>
      <c r="G99" s="5"/>
    </row>
    <row r="100" spans="1:7" ht="15.75" customHeight="1">
      <c r="A100" s="3">
        <v>21649</v>
      </c>
      <c r="B100" s="4">
        <v>38</v>
      </c>
      <c r="G100" s="5"/>
    </row>
    <row r="101" spans="1:7" ht="15.75" customHeight="1">
      <c r="A101" s="3">
        <v>21650</v>
      </c>
      <c r="B101" s="4">
        <v>34</v>
      </c>
      <c r="G101" s="5"/>
    </row>
    <row r="102" spans="1:7" ht="15.75" customHeight="1">
      <c r="A102" s="3">
        <v>21651</v>
      </c>
      <c r="B102" s="4">
        <v>53</v>
      </c>
      <c r="G102" s="5"/>
    </row>
    <row r="103" spans="1:7" ht="15.75" customHeight="1">
      <c r="A103" s="3">
        <v>21652</v>
      </c>
      <c r="B103" s="4">
        <v>34</v>
      </c>
      <c r="G103" s="5"/>
    </row>
    <row r="104" spans="1:7" ht="15.75" customHeight="1">
      <c r="A104" s="3">
        <v>21653</v>
      </c>
      <c r="B104" s="4">
        <v>34</v>
      </c>
      <c r="G104" s="5"/>
    </row>
    <row r="105" spans="1:7" ht="15.75" customHeight="1">
      <c r="A105" s="3">
        <v>21654</v>
      </c>
      <c r="B105" s="4">
        <v>38</v>
      </c>
      <c r="G105" s="5"/>
    </row>
    <row r="106" spans="1:7" ht="15.75" customHeight="1">
      <c r="A106" s="3">
        <v>21655</v>
      </c>
      <c r="B106" s="4">
        <v>35</v>
      </c>
      <c r="G106" s="5"/>
    </row>
    <row r="107" spans="1:7" ht="15.75" customHeight="1">
      <c r="A107" s="3">
        <v>21656</v>
      </c>
      <c r="B107" s="4">
        <v>32</v>
      </c>
      <c r="G107" s="5"/>
    </row>
    <row r="108" spans="1:7" ht="15.75" customHeight="1">
      <c r="A108" s="3">
        <v>21657</v>
      </c>
      <c r="B108" s="4">
        <v>42</v>
      </c>
      <c r="G108" s="5"/>
    </row>
    <row r="109" spans="1:7" ht="15.75" customHeight="1">
      <c r="A109" s="3">
        <v>21658</v>
      </c>
      <c r="B109" s="4">
        <v>34</v>
      </c>
      <c r="G109" s="5"/>
    </row>
    <row r="110" spans="1:7" ht="15.75" customHeight="1">
      <c r="A110" s="3">
        <v>21659</v>
      </c>
      <c r="B110" s="4">
        <v>46</v>
      </c>
      <c r="G110" s="5"/>
    </row>
    <row r="111" spans="1:7" ht="15.75" customHeight="1">
      <c r="A111" s="3">
        <v>21660</v>
      </c>
      <c r="B111" s="4">
        <v>30</v>
      </c>
      <c r="G111" s="5"/>
    </row>
    <row r="112" spans="1:7" ht="15.75" customHeight="1">
      <c r="A112" s="3">
        <v>21661</v>
      </c>
      <c r="B112" s="4">
        <v>46</v>
      </c>
      <c r="G112" s="5"/>
    </row>
    <row r="113" spans="1:7" ht="15.75" customHeight="1">
      <c r="A113" s="3">
        <v>21662</v>
      </c>
      <c r="B113" s="4">
        <v>45</v>
      </c>
      <c r="G113" s="5"/>
    </row>
    <row r="114" spans="1:7" ht="15.75" customHeight="1">
      <c r="A114" s="3">
        <v>21663</v>
      </c>
      <c r="B114" s="4">
        <v>54</v>
      </c>
      <c r="G114" s="5"/>
    </row>
    <row r="115" spans="1:7" ht="15.75" customHeight="1">
      <c r="A115" s="3">
        <v>21664</v>
      </c>
      <c r="B115" s="4">
        <v>34</v>
      </c>
      <c r="G115" s="5"/>
    </row>
    <row r="116" spans="1:7" ht="15.75" customHeight="1">
      <c r="A116" s="3">
        <v>21665</v>
      </c>
      <c r="B116" s="4">
        <v>37</v>
      </c>
      <c r="G116" s="5"/>
    </row>
    <row r="117" spans="1:7" ht="15.75" customHeight="1">
      <c r="A117" s="3">
        <v>21666</v>
      </c>
      <c r="B117" s="4">
        <v>35</v>
      </c>
      <c r="G117" s="5"/>
    </row>
    <row r="118" spans="1:7" ht="15.75" customHeight="1">
      <c r="A118" s="3">
        <v>21667</v>
      </c>
      <c r="B118" s="4">
        <v>40</v>
      </c>
      <c r="G118" s="5"/>
    </row>
    <row r="119" spans="1:7" ht="15.75" customHeight="1">
      <c r="A119" s="3">
        <v>21668</v>
      </c>
      <c r="B119" s="4">
        <v>42</v>
      </c>
      <c r="G119" s="5"/>
    </row>
    <row r="120" spans="1:7" ht="15.75" customHeight="1">
      <c r="A120" s="3">
        <v>21669</v>
      </c>
      <c r="B120" s="4">
        <v>58</v>
      </c>
      <c r="G120" s="5"/>
    </row>
    <row r="121" spans="1:7" ht="15.75" customHeight="1">
      <c r="A121" s="3">
        <v>21670</v>
      </c>
      <c r="B121" s="4">
        <v>51</v>
      </c>
      <c r="G121" s="5"/>
    </row>
    <row r="122" spans="1:7" ht="15.75" customHeight="1">
      <c r="A122" s="3">
        <v>21671</v>
      </c>
      <c r="B122" s="4">
        <v>32</v>
      </c>
      <c r="G122" s="5"/>
    </row>
    <row r="123" spans="1:7" ht="15.75" customHeight="1">
      <c r="A123" s="3">
        <v>21672</v>
      </c>
      <c r="B123" s="4">
        <v>35</v>
      </c>
      <c r="G123" s="5"/>
    </row>
    <row r="124" spans="1:7" ht="15.75" customHeight="1">
      <c r="A124" s="3">
        <v>21673</v>
      </c>
      <c r="B124" s="4">
        <v>38</v>
      </c>
      <c r="G124" s="5"/>
    </row>
    <row r="125" spans="1:7" ht="15.75" customHeight="1">
      <c r="A125" s="3">
        <v>21674</v>
      </c>
      <c r="B125" s="4">
        <v>33</v>
      </c>
      <c r="G125" s="5"/>
    </row>
    <row r="126" spans="1:7" ht="15.75" customHeight="1">
      <c r="A126" s="3">
        <v>21675</v>
      </c>
      <c r="B126" s="4">
        <v>39</v>
      </c>
      <c r="G126" s="5"/>
    </row>
    <row r="127" spans="1:7" ht="15.75" customHeight="1">
      <c r="A127" s="3">
        <v>21676</v>
      </c>
      <c r="B127" s="4">
        <v>47</v>
      </c>
      <c r="G127" s="5"/>
    </row>
    <row r="128" spans="1:7" ht="15.75" customHeight="1">
      <c r="A128" s="3">
        <v>21677</v>
      </c>
      <c r="B128" s="4">
        <v>38</v>
      </c>
      <c r="G128" s="5"/>
    </row>
    <row r="129" spans="1:7" ht="15.75" customHeight="1">
      <c r="A129" s="3">
        <v>21678</v>
      </c>
      <c r="B129" s="4">
        <v>52</v>
      </c>
      <c r="G129" s="5"/>
    </row>
    <row r="130" spans="1:7" ht="15.75" customHeight="1">
      <c r="A130" s="3">
        <v>21679</v>
      </c>
      <c r="B130" s="4">
        <v>30</v>
      </c>
      <c r="G130" s="5"/>
    </row>
    <row r="131" spans="1:7" ht="15.75" customHeight="1">
      <c r="A131" s="3">
        <v>21680</v>
      </c>
      <c r="B131" s="4">
        <v>34</v>
      </c>
      <c r="G131" s="5"/>
    </row>
    <row r="132" spans="1:7" ht="15.75" customHeight="1">
      <c r="A132" s="3">
        <v>21681</v>
      </c>
      <c r="B132" s="4">
        <v>40</v>
      </c>
      <c r="G132" s="5"/>
    </row>
    <row r="133" spans="1:7" ht="15.75" customHeight="1">
      <c r="A133" s="3">
        <v>21682</v>
      </c>
      <c r="B133" s="4">
        <v>35</v>
      </c>
      <c r="G133" s="5"/>
    </row>
    <row r="134" spans="1:7" ht="15.75" customHeight="1">
      <c r="A134" s="3">
        <v>21683</v>
      </c>
      <c r="B134" s="4">
        <v>42</v>
      </c>
      <c r="G134" s="5"/>
    </row>
    <row r="135" spans="1:7" ht="15.75" customHeight="1">
      <c r="A135" s="3">
        <v>21684</v>
      </c>
      <c r="B135" s="4">
        <v>41</v>
      </c>
      <c r="G135" s="5"/>
    </row>
    <row r="136" spans="1:7" ht="15.75" customHeight="1">
      <c r="A136" s="3">
        <v>21685</v>
      </c>
      <c r="B136" s="4">
        <v>42</v>
      </c>
      <c r="G136" s="5"/>
    </row>
    <row r="137" spans="1:7" ht="15.75" customHeight="1">
      <c r="A137" s="3">
        <v>21686</v>
      </c>
      <c r="B137" s="4">
        <v>38</v>
      </c>
      <c r="G137" s="5"/>
    </row>
    <row r="138" spans="1:7" ht="15.75" customHeight="1">
      <c r="A138" s="3">
        <v>21687</v>
      </c>
      <c r="B138" s="4">
        <v>24</v>
      </c>
      <c r="G138" s="5"/>
    </row>
    <row r="139" spans="1:7" ht="15.75" customHeight="1">
      <c r="A139" s="3">
        <v>21688</v>
      </c>
      <c r="B139" s="4">
        <v>34</v>
      </c>
      <c r="G139" s="5"/>
    </row>
    <row r="140" spans="1:7" ht="15.75" customHeight="1">
      <c r="A140" s="3">
        <v>21689</v>
      </c>
      <c r="B140" s="4">
        <v>43</v>
      </c>
      <c r="G140" s="5"/>
    </row>
    <row r="141" spans="1:7" ht="15.75" customHeight="1">
      <c r="A141" s="3">
        <v>21690</v>
      </c>
      <c r="B141" s="4">
        <v>36</v>
      </c>
      <c r="G141" s="5"/>
    </row>
    <row r="142" spans="1:7" ht="15.75" customHeight="1">
      <c r="A142" s="3">
        <v>21691</v>
      </c>
      <c r="B142" s="4">
        <v>55</v>
      </c>
      <c r="G142" s="5"/>
    </row>
    <row r="143" spans="1:7" ht="15.75" customHeight="1">
      <c r="A143" s="3">
        <v>21692</v>
      </c>
      <c r="B143" s="4">
        <v>41</v>
      </c>
      <c r="G143" s="5"/>
    </row>
    <row r="144" spans="1:7" ht="15.75" customHeight="1">
      <c r="A144" s="3">
        <v>21693</v>
      </c>
      <c r="B144" s="4">
        <v>45</v>
      </c>
      <c r="G144" s="5"/>
    </row>
    <row r="145" spans="1:7" ht="15.75" customHeight="1">
      <c r="A145" s="3">
        <v>21694</v>
      </c>
      <c r="B145" s="4">
        <v>41</v>
      </c>
      <c r="G145" s="5"/>
    </row>
    <row r="146" spans="1:7" ht="15.75" customHeight="1">
      <c r="A146" s="3">
        <v>21695</v>
      </c>
      <c r="B146" s="4">
        <v>37</v>
      </c>
      <c r="G146" s="5"/>
    </row>
    <row r="147" spans="1:7" ht="15.75" customHeight="1">
      <c r="A147" s="3">
        <v>21696</v>
      </c>
      <c r="B147" s="4">
        <v>43</v>
      </c>
      <c r="G147" s="5"/>
    </row>
    <row r="148" spans="1:7" ht="15.75" customHeight="1">
      <c r="A148" s="3">
        <v>21697</v>
      </c>
      <c r="B148" s="4">
        <v>39</v>
      </c>
      <c r="G148" s="5"/>
    </row>
    <row r="149" spans="1:7" ht="15.75" customHeight="1">
      <c r="A149" s="3">
        <v>21698</v>
      </c>
      <c r="B149" s="4">
        <v>33</v>
      </c>
      <c r="G149" s="5"/>
    </row>
    <row r="150" spans="1:7" ht="15.75" customHeight="1">
      <c r="A150" s="3">
        <v>21699</v>
      </c>
      <c r="B150" s="4">
        <v>43</v>
      </c>
      <c r="G150" s="5"/>
    </row>
    <row r="151" spans="1:7" ht="15.75" customHeight="1">
      <c r="A151" s="3">
        <v>21700</v>
      </c>
      <c r="B151" s="4">
        <v>40</v>
      </c>
      <c r="G151" s="5"/>
    </row>
    <row r="152" spans="1:7" ht="15.75" customHeight="1">
      <c r="A152" s="3">
        <v>21701</v>
      </c>
      <c r="B152" s="4">
        <v>38</v>
      </c>
      <c r="G152" s="5"/>
    </row>
    <row r="153" spans="1:7" ht="15.75" customHeight="1">
      <c r="A153" s="3">
        <v>21702</v>
      </c>
      <c r="B153" s="4">
        <v>45</v>
      </c>
      <c r="G153" s="5"/>
    </row>
    <row r="154" spans="1:7" ht="15.75" customHeight="1">
      <c r="A154" s="3">
        <v>21703</v>
      </c>
      <c r="B154" s="4">
        <v>46</v>
      </c>
      <c r="G154" s="5"/>
    </row>
    <row r="155" spans="1:7" ht="15.75" customHeight="1">
      <c r="A155" s="3">
        <v>21704</v>
      </c>
      <c r="B155" s="4">
        <v>34</v>
      </c>
      <c r="G155" s="5"/>
    </row>
    <row r="156" spans="1:7" ht="15.75" customHeight="1">
      <c r="A156" s="3">
        <v>21705</v>
      </c>
      <c r="B156" s="4">
        <v>35</v>
      </c>
      <c r="G156" s="5"/>
    </row>
    <row r="157" spans="1:7" ht="15.75" customHeight="1">
      <c r="A157" s="3">
        <v>21706</v>
      </c>
      <c r="B157" s="4">
        <v>48</v>
      </c>
      <c r="G157" s="5"/>
    </row>
    <row r="158" spans="1:7" ht="15.75" customHeight="1">
      <c r="A158" s="3">
        <v>21707</v>
      </c>
      <c r="B158" s="4">
        <v>51</v>
      </c>
      <c r="G158" s="5"/>
    </row>
    <row r="159" spans="1:7" ht="15.75" customHeight="1">
      <c r="A159" s="3">
        <v>21708</v>
      </c>
      <c r="B159" s="4">
        <v>36</v>
      </c>
      <c r="G159" s="5"/>
    </row>
    <row r="160" spans="1:7" ht="15.75" customHeight="1">
      <c r="A160" s="3">
        <v>21709</v>
      </c>
      <c r="B160" s="4">
        <v>33</v>
      </c>
      <c r="G160" s="5"/>
    </row>
    <row r="161" spans="1:7" ht="15.75" customHeight="1">
      <c r="A161" s="3">
        <v>21710</v>
      </c>
      <c r="B161" s="4">
        <v>46</v>
      </c>
      <c r="G161" s="5"/>
    </row>
    <row r="162" spans="1:7" ht="15.75" customHeight="1">
      <c r="A162" s="3">
        <v>21711</v>
      </c>
      <c r="B162" s="4">
        <v>42</v>
      </c>
      <c r="G162" s="5"/>
    </row>
    <row r="163" spans="1:7" ht="15.75" customHeight="1">
      <c r="A163" s="3">
        <v>21712</v>
      </c>
      <c r="B163" s="4">
        <v>48</v>
      </c>
      <c r="G163" s="5"/>
    </row>
    <row r="164" spans="1:7" ht="15.75" customHeight="1">
      <c r="A164" s="3">
        <v>21713</v>
      </c>
      <c r="B164" s="4">
        <v>34</v>
      </c>
      <c r="G164" s="5"/>
    </row>
    <row r="165" spans="1:7" ht="15.75" customHeight="1">
      <c r="A165" s="3">
        <v>21714</v>
      </c>
      <c r="B165" s="4">
        <v>41</v>
      </c>
      <c r="G165" s="5"/>
    </row>
    <row r="166" spans="1:7" ht="15.75" customHeight="1">
      <c r="A166" s="3">
        <v>21715</v>
      </c>
      <c r="B166" s="4">
        <v>35</v>
      </c>
      <c r="G166" s="5"/>
    </row>
    <row r="167" spans="1:7" ht="15.75" customHeight="1">
      <c r="A167" s="3">
        <v>21716</v>
      </c>
      <c r="B167" s="4">
        <v>40</v>
      </c>
      <c r="G167" s="5"/>
    </row>
    <row r="168" spans="1:7" ht="15.75" customHeight="1">
      <c r="A168" s="3">
        <v>21717</v>
      </c>
      <c r="B168" s="4">
        <v>34</v>
      </c>
      <c r="G168" s="5"/>
    </row>
    <row r="169" spans="1:7" ht="15.75" customHeight="1">
      <c r="A169" s="3">
        <v>21718</v>
      </c>
      <c r="B169" s="4">
        <v>30</v>
      </c>
      <c r="G169" s="5"/>
    </row>
    <row r="170" spans="1:7" ht="15.75" customHeight="1">
      <c r="A170" s="3">
        <v>21719</v>
      </c>
      <c r="B170" s="4">
        <v>36</v>
      </c>
      <c r="G170" s="5"/>
    </row>
    <row r="171" spans="1:7" ht="15.75" customHeight="1">
      <c r="A171" s="3">
        <v>21720</v>
      </c>
      <c r="B171" s="4">
        <v>40</v>
      </c>
      <c r="G171" s="5"/>
    </row>
    <row r="172" spans="1:7" ht="15.75" customHeight="1">
      <c r="A172" s="3">
        <v>21721</v>
      </c>
      <c r="B172" s="4">
        <v>39</v>
      </c>
      <c r="G172" s="5"/>
    </row>
    <row r="173" spans="1:7" ht="15.75" customHeight="1">
      <c r="A173" s="3">
        <v>21722</v>
      </c>
      <c r="B173" s="4">
        <v>45</v>
      </c>
      <c r="G173" s="5"/>
    </row>
    <row r="174" spans="1:7" ht="15.75" customHeight="1">
      <c r="A174" s="3">
        <v>21723</v>
      </c>
      <c r="B174" s="4">
        <v>38</v>
      </c>
      <c r="G174" s="5"/>
    </row>
    <row r="175" spans="1:7" ht="15.75" customHeight="1">
      <c r="A175" s="3">
        <v>21724</v>
      </c>
      <c r="B175" s="4">
        <v>47</v>
      </c>
      <c r="G175" s="5"/>
    </row>
    <row r="176" spans="1:7" ht="15.75" customHeight="1">
      <c r="A176" s="3">
        <v>21725</v>
      </c>
      <c r="B176" s="4">
        <v>33</v>
      </c>
      <c r="G176" s="5"/>
    </row>
    <row r="177" spans="1:7" ht="15.75" customHeight="1">
      <c r="A177" s="3">
        <v>21726</v>
      </c>
      <c r="B177" s="4">
        <v>30</v>
      </c>
      <c r="G177" s="5"/>
    </row>
    <row r="178" spans="1:7" ht="15.75" customHeight="1">
      <c r="A178" s="3">
        <v>21727</v>
      </c>
      <c r="B178" s="4">
        <v>42</v>
      </c>
      <c r="G178" s="5"/>
    </row>
    <row r="179" spans="1:7" ht="15.75" customHeight="1">
      <c r="A179" s="3">
        <v>21728</v>
      </c>
      <c r="B179" s="4">
        <v>43</v>
      </c>
      <c r="G179" s="5"/>
    </row>
    <row r="180" spans="1:7" ht="15.75" customHeight="1">
      <c r="A180" s="3">
        <v>21729</v>
      </c>
      <c r="B180" s="4">
        <v>41</v>
      </c>
      <c r="G180" s="5"/>
    </row>
    <row r="181" spans="1:7" ht="15.75" customHeight="1">
      <c r="A181" s="3">
        <v>21730</v>
      </c>
      <c r="B181" s="4">
        <v>41</v>
      </c>
      <c r="G181" s="5"/>
    </row>
    <row r="182" spans="1:7" ht="15.75" customHeight="1">
      <c r="A182" s="3">
        <v>21731</v>
      </c>
      <c r="B182" s="4">
        <v>59</v>
      </c>
      <c r="G182" s="5"/>
    </row>
    <row r="183" spans="1:7" ht="15.75" customHeight="1">
      <c r="A183" s="3">
        <v>21732</v>
      </c>
      <c r="B183" s="4">
        <v>43</v>
      </c>
      <c r="G183" s="5"/>
    </row>
    <row r="184" spans="1:7" ht="15.75" customHeight="1">
      <c r="A184" s="3">
        <v>21733</v>
      </c>
      <c r="B184" s="4">
        <v>45</v>
      </c>
      <c r="G184" s="5"/>
    </row>
    <row r="185" spans="1:7" ht="15.75" customHeight="1">
      <c r="A185" s="3">
        <v>21734</v>
      </c>
      <c r="B185" s="4">
        <v>38</v>
      </c>
      <c r="G185" s="5"/>
    </row>
    <row r="186" spans="1:7" ht="15.75" customHeight="1">
      <c r="A186" s="3">
        <v>21735</v>
      </c>
      <c r="B186" s="4">
        <v>37</v>
      </c>
      <c r="G186" s="5"/>
    </row>
    <row r="187" spans="1:7" ht="15.75" customHeight="1">
      <c r="A187" s="3">
        <v>21736</v>
      </c>
      <c r="B187" s="4">
        <v>45</v>
      </c>
      <c r="G187" s="5"/>
    </row>
    <row r="188" spans="1:7" ht="15.75" customHeight="1">
      <c r="A188" s="3">
        <v>21737</v>
      </c>
      <c r="B188" s="4">
        <v>42</v>
      </c>
      <c r="G188" s="5"/>
    </row>
    <row r="189" spans="1:7" ht="15.75" customHeight="1">
      <c r="A189" s="3">
        <v>21738</v>
      </c>
      <c r="B189" s="4">
        <v>57</v>
      </c>
      <c r="G189" s="5"/>
    </row>
    <row r="190" spans="1:7" ht="15.75" customHeight="1">
      <c r="A190" s="3">
        <v>21739</v>
      </c>
      <c r="B190" s="4">
        <v>46</v>
      </c>
      <c r="G190" s="5"/>
    </row>
    <row r="191" spans="1:7" ht="15.75" customHeight="1">
      <c r="A191" s="3">
        <v>21740</v>
      </c>
      <c r="B191" s="4">
        <v>51</v>
      </c>
      <c r="G191" s="5"/>
    </row>
    <row r="192" spans="1:7" ht="15.75" customHeight="1">
      <c r="A192" s="3">
        <v>21741</v>
      </c>
      <c r="B192" s="4">
        <v>41</v>
      </c>
      <c r="G192" s="5"/>
    </row>
    <row r="193" spans="1:7" ht="15.75" customHeight="1">
      <c r="A193" s="3">
        <v>21742</v>
      </c>
      <c r="B193" s="4">
        <v>47</v>
      </c>
      <c r="G193" s="5"/>
    </row>
    <row r="194" spans="1:7" ht="15.75" customHeight="1">
      <c r="A194" s="3">
        <v>21743</v>
      </c>
      <c r="B194" s="4">
        <v>26</v>
      </c>
      <c r="G194" s="5"/>
    </row>
    <row r="195" spans="1:7" ht="15.75" customHeight="1">
      <c r="A195" s="3">
        <v>21744</v>
      </c>
      <c r="B195" s="4">
        <v>35</v>
      </c>
      <c r="G195" s="5"/>
    </row>
    <row r="196" spans="1:7" ht="15.75" customHeight="1">
      <c r="A196" s="3">
        <v>21745</v>
      </c>
      <c r="B196" s="4">
        <v>44</v>
      </c>
      <c r="G196" s="5"/>
    </row>
    <row r="197" spans="1:7" ht="15.75" customHeight="1">
      <c r="A197" s="3">
        <v>21746</v>
      </c>
      <c r="B197" s="4">
        <v>41</v>
      </c>
      <c r="G197" s="5"/>
    </row>
    <row r="198" spans="1:7" ht="15.75" customHeight="1">
      <c r="A198" s="3">
        <v>21747</v>
      </c>
      <c r="B198" s="4">
        <v>42</v>
      </c>
      <c r="G198" s="5"/>
    </row>
    <row r="199" spans="1:7" ht="15.75" customHeight="1">
      <c r="A199" s="3">
        <v>21748</v>
      </c>
      <c r="B199" s="4">
        <v>36</v>
      </c>
      <c r="G199" s="5"/>
    </row>
    <row r="200" spans="1:7" ht="15.75" customHeight="1">
      <c r="A200" s="3">
        <v>21749</v>
      </c>
      <c r="B200" s="4">
        <v>45</v>
      </c>
      <c r="G200" s="5"/>
    </row>
    <row r="201" spans="1:7" ht="15.75" customHeight="1">
      <c r="A201" s="3">
        <v>21750</v>
      </c>
      <c r="B201" s="4">
        <v>45</v>
      </c>
      <c r="G201" s="5"/>
    </row>
    <row r="202" spans="1:7" ht="15.75" customHeight="1">
      <c r="A202" s="3">
        <v>21751</v>
      </c>
      <c r="B202" s="4">
        <v>45</v>
      </c>
      <c r="G202" s="5"/>
    </row>
    <row r="203" spans="1:7" ht="15.75" customHeight="1">
      <c r="A203" s="3">
        <v>21752</v>
      </c>
      <c r="B203" s="4">
        <v>47</v>
      </c>
      <c r="G203" s="5"/>
    </row>
    <row r="204" spans="1:7" ht="15.75" customHeight="1">
      <c r="A204" s="3">
        <v>21753</v>
      </c>
      <c r="B204" s="4">
        <v>38</v>
      </c>
      <c r="G204" s="5"/>
    </row>
    <row r="205" spans="1:7" ht="15.75" customHeight="1">
      <c r="A205" s="3">
        <v>21754</v>
      </c>
      <c r="B205" s="4">
        <v>42</v>
      </c>
      <c r="G205" s="5"/>
    </row>
    <row r="206" spans="1:7" ht="15.75" customHeight="1">
      <c r="A206" s="3">
        <v>21755</v>
      </c>
      <c r="B206" s="4">
        <v>35</v>
      </c>
      <c r="G206" s="5"/>
    </row>
    <row r="207" spans="1:7" ht="15.75" customHeight="1">
      <c r="A207" s="3">
        <v>21756</v>
      </c>
      <c r="B207" s="4">
        <v>36</v>
      </c>
      <c r="G207" s="5"/>
    </row>
    <row r="208" spans="1:7" ht="15.75" customHeight="1">
      <c r="A208" s="3">
        <v>21757</v>
      </c>
      <c r="B208" s="4">
        <v>39</v>
      </c>
      <c r="G208" s="5"/>
    </row>
    <row r="209" spans="1:7" ht="15.75" customHeight="1">
      <c r="A209" s="3">
        <v>21758</v>
      </c>
      <c r="B209" s="4">
        <v>45</v>
      </c>
      <c r="G209" s="5"/>
    </row>
    <row r="210" spans="1:7" ht="15.75" customHeight="1">
      <c r="A210" s="3">
        <v>21759</v>
      </c>
      <c r="B210" s="4">
        <v>43</v>
      </c>
      <c r="G210" s="5"/>
    </row>
    <row r="211" spans="1:7" ht="15.75" customHeight="1">
      <c r="A211" s="3">
        <v>21760</v>
      </c>
      <c r="B211" s="4">
        <v>47</v>
      </c>
      <c r="G211" s="5"/>
    </row>
    <row r="212" spans="1:7" ht="15.75" customHeight="1">
      <c r="A212" s="3">
        <v>21761</v>
      </c>
      <c r="B212" s="4">
        <v>36</v>
      </c>
      <c r="G212" s="5"/>
    </row>
    <row r="213" spans="1:7" ht="15.75" customHeight="1">
      <c r="A213" s="3">
        <v>21762</v>
      </c>
      <c r="B213" s="4">
        <v>41</v>
      </c>
      <c r="G213" s="5"/>
    </row>
    <row r="214" spans="1:7" ht="15.75" customHeight="1">
      <c r="A214" s="3">
        <v>21763</v>
      </c>
      <c r="B214" s="4">
        <v>50</v>
      </c>
      <c r="G214" s="5"/>
    </row>
    <row r="215" spans="1:7" ht="15.75" customHeight="1">
      <c r="A215" s="3">
        <v>21764</v>
      </c>
      <c r="B215" s="4">
        <v>39</v>
      </c>
      <c r="G215" s="5"/>
    </row>
    <row r="216" spans="1:7" ht="15.75" customHeight="1">
      <c r="A216" s="3">
        <v>21765</v>
      </c>
      <c r="B216" s="4">
        <v>41</v>
      </c>
      <c r="G216" s="5"/>
    </row>
    <row r="217" spans="1:7" ht="15.75" customHeight="1">
      <c r="A217" s="3">
        <v>21766</v>
      </c>
      <c r="B217" s="4">
        <v>46</v>
      </c>
      <c r="G217" s="5"/>
    </row>
    <row r="218" spans="1:7" ht="15.75" customHeight="1">
      <c r="A218" s="3">
        <v>21767</v>
      </c>
      <c r="B218" s="4">
        <v>64</v>
      </c>
      <c r="G218" s="5"/>
    </row>
    <row r="219" spans="1:7" ht="15.75" customHeight="1">
      <c r="A219" s="3">
        <v>21768</v>
      </c>
      <c r="B219" s="4">
        <v>45</v>
      </c>
      <c r="G219" s="5"/>
    </row>
    <row r="220" spans="1:7" ht="15.75" customHeight="1">
      <c r="A220" s="3">
        <v>21769</v>
      </c>
      <c r="B220" s="4">
        <v>34</v>
      </c>
      <c r="G220" s="5"/>
    </row>
    <row r="221" spans="1:7" ht="15.75" customHeight="1">
      <c r="A221" s="3">
        <v>21770</v>
      </c>
      <c r="B221" s="4">
        <v>38</v>
      </c>
      <c r="G221" s="5"/>
    </row>
    <row r="222" spans="1:7" ht="15.75" customHeight="1">
      <c r="A222" s="3">
        <v>21771</v>
      </c>
      <c r="B222" s="4">
        <v>44</v>
      </c>
      <c r="G222" s="5"/>
    </row>
    <row r="223" spans="1:7" ht="15.75" customHeight="1">
      <c r="A223" s="3">
        <v>21772</v>
      </c>
      <c r="B223" s="4">
        <v>48</v>
      </c>
      <c r="G223" s="5"/>
    </row>
    <row r="224" spans="1:7" ht="15.75" customHeight="1">
      <c r="A224" s="3">
        <v>21773</v>
      </c>
      <c r="B224" s="4">
        <v>46</v>
      </c>
      <c r="G224" s="5"/>
    </row>
    <row r="225" spans="1:7" ht="15.75" customHeight="1">
      <c r="A225" s="3">
        <v>21774</v>
      </c>
      <c r="B225" s="4">
        <v>44</v>
      </c>
      <c r="G225" s="5"/>
    </row>
    <row r="226" spans="1:7" ht="15.75" customHeight="1">
      <c r="A226" s="3">
        <v>21775</v>
      </c>
      <c r="B226" s="4">
        <v>37</v>
      </c>
      <c r="G226" s="5"/>
    </row>
    <row r="227" spans="1:7" ht="15.75" customHeight="1">
      <c r="A227" s="3">
        <v>21776</v>
      </c>
      <c r="B227" s="4">
        <v>39</v>
      </c>
      <c r="G227" s="5"/>
    </row>
    <row r="228" spans="1:7" ht="15.75" customHeight="1">
      <c r="A228" s="3">
        <v>21777</v>
      </c>
      <c r="B228" s="4">
        <v>44</v>
      </c>
      <c r="G228" s="5"/>
    </row>
    <row r="229" spans="1:7" ht="15.75" customHeight="1">
      <c r="A229" s="3">
        <v>21778</v>
      </c>
      <c r="B229" s="4">
        <v>45</v>
      </c>
      <c r="G229" s="5"/>
    </row>
    <row r="230" spans="1:7" ht="15.75" customHeight="1">
      <c r="A230" s="3">
        <v>21779</v>
      </c>
      <c r="B230" s="4">
        <v>33</v>
      </c>
      <c r="G230" s="5"/>
    </row>
    <row r="231" spans="1:7" ht="15.75" customHeight="1">
      <c r="A231" s="3">
        <v>21780</v>
      </c>
      <c r="B231" s="4">
        <v>44</v>
      </c>
      <c r="G231" s="5"/>
    </row>
    <row r="232" spans="1:7" ht="15.75" customHeight="1">
      <c r="A232" s="3">
        <v>21781</v>
      </c>
      <c r="B232" s="4">
        <v>38</v>
      </c>
      <c r="G232" s="5"/>
    </row>
    <row r="233" spans="1:7" ht="15.75" customHeight="1">
      <c r="A233" s="3">
        <v>21782</v>
      </c>
      <c r="B233" s="4">
        <v>46</v>
      </c>
      <c r="G233" s="5"/>
    </row>
    <row r="234" spans="1:7" ht="15.75" customHeight="1">
      <c r="A234" s="3">
        <v>21783</v>
      </c>
      <c r="B234" s="4">
        <v>46</v>
      </c>
      <c r="G234" s="5"/>
    </row>
    <row r="235" spans="1:7" ht="15.75" customHeight="1">
      <c r="A235" s="3">
        <v>21784</v>
      </c>
      <c r="B235" s="4">
        <v>40</v>
      </c>
      <c r="G235" s="5"/>
    </row>
    <row r="236" spans="1:7" ht="15.75" customHeight="1">
      <c r="A236" s="3">
        <v>21785</v>
      </c>
      <c r="B236" s="4">
        <v>39</v>
      </c>
      <c r="G236" s="5"/>
    </row>
    <row r="237" spans="1:7" ht="15.75" customHeight="1">
      <c r="A237" s="3">
        <v>21786</v>
      </c>
      <c r="B237" s="4">
        <v>44</v>
      </c>
      <c r="G237" s="5"/>
    </row>
    <row r="238" spans="1:7" ht="15.75" customHeight="1">
      <c r="A238" s="3">
        <v>21787</v>
      </c>
      <c r="B238" s="4">
        <v>48</v>
      </c>
      <c r="G238" s="5"/>
    </row>
    <row r="239" spans="1:7" ht="15.75" customHeight="1">
      <c r="A239" s="3">
        <v>21788</v>
      </c>
      <c r="B239" s="4">
        <v>50</v>
      </c>
      <c r="G239" s="5"/>
    </row>
    <row r="240" spans="1:7" ht="15.75" customHeight="1">
      <c r="A240" s="3">
        <v>21789</v>
      </c>
      <c r="B240" s="4">
        <v>41</v>
      </c>
      <c r="G240" s="5"/>
    </row>
    <row r="241" spans="1:7" ht="15.75" customHeight="1">
      <c r="A241" s="3">
        <v>21790</v>
      </c>
      <c r="B241" s="4">
        <v>42</v>
      </c>
      <c r="G241" s="5"/>
    </row>
    <row r="242" spans="1:7" ht="15.75" customHeight="1">
      <c r="A242" s="3">
        <v>21791</v>
      </c>
      <c r="B242" s="4">
        <v>51</v>
      </c>
      <c r="G242" s="5"/>
    </row>
    <row r="243" spans="1:7" ht="15.75" customHeight="1">
      <c r="A243" s="3">
        <v>21792</v>
      </c>
      <c r="B243" s="4">
        <v>41</v>
      </c>
      <c r="G243" s="5"/>
    </row>
    <row r="244" spans="1:7" ht="15.75" customHeight="1">
      <c r="A244" s="3">
        <v>21793</v>
      </c>
      <c r="B244" s="4">
        <v>44</v>
      </c>
      <c r="G244" s="5"/>
    </row>
    <row r="245" spans="1:7" ht="15.75" customHeight="1">
      <c r="A245" s="3">
        <v>21794</v>
      </c>
      <c r="B245" s="4">
        <v>38</v>
      </c>
      <c r="G245" s="5"/>
    </row>
    <row r="246" spans="1:7" ht="15.75" customHeight="1">
      <c r="A246" s="3">
        <v>21795</v>
      </c>
      <c r="B246" s="4">
        <v>68</v>
      </c>
      <c r="G246" s="5"/>
    </row>
    <row r="247" spans="1:7" ht="15.75" customHeight="1">
      <c r="A247" s="3">
        <v>21796</v>
      </c>
      <c r="B247" s="4">
        <v>40</v>
      </c>
      <c r="G247" s="5"/>
    </row>
    <row r="248" spans="1:7" ht="15.75" customHeight="1">
      <c r="A248" s="3">
        <v>21797</v>
      </c>
      <c r="B248" s="4">
        <v>42</v>
      </c>
      <c r="G248" s="5"/>
    </row>
    <row r="249" spans="1:7" ht="15.75" customHeight="1">
      <c r="A249" s="3">
        <v>21798</v>
      </c>
      <c r="B249" s="4">
        <v>51</v>
      </c>
      <c r="G249" s="5"/>
    </row>
    <row r="250" spans="1:7" ht="15.75" customHeight="1">
      <c r="A250" s="3">
        <v>21799</v>
      </c>
      <c r="B250" s="4">
        <v>44</v>
      </c>
      <c r="G250" s="5"/>
    </row>
    <row r="251" spans="1:7" ht="15.75" customHeight="1">
      <c r="A251" s="3">
        <v>21800</v>
      </c>
      <c r="B251" s="4">
        <v>45</v>
      </c>
      <c r="G251" s="5"/>
    </row>
    <row r="252" spans="1:7" ht="15.75" customHeight="1">
      <c r="A252" s="3">
        <v>21801</v>
      </c>
      <c r="B252" s="4">
        <v>36</v>
      </c>
      <c r="G252" s="5"/>
    </row>
    <row r="253" spans="1:7" ht="15.75" customHeight="1">
      <c r="A253" s="3">
        <v>21802</v>
      </c>
      <c r="B253" s="4">
        <v>57</v>
      </c>
      <c r="G253" s="5"/>
    </row>
    <row r="254" spans="1:7" ht="15.75" customHeight="1">
      <c r="A254" s="3">
        <v>21803</v>
      </c>
      <c r="B254" s="4">
        <v>44</v>
      </c>
      <c r="G254" s="5"/>
    </row>
    <row r="255" spans="1:7" ht="15.75" customHeight="1">
      <c r="A255" s="3">
        <v>21804</v>
      </c>
      <c r="B255" s="4">
        <v>42</v>
      </c>
      <c r="G255" s="5"/>
    </row>
    <row r="256" spans="1:7" ht="15.75" customHeight="1">
      <c r="A256" s="3">
        <v>21805</v>
      </c>
      <c r="B256" s="4">
        <v>53</v>
      </c>
      <c r="G256" s="5"/>
    </row>
    <row r="257" spans="1:7" ht="15.75" customHeight="1">
      <c r="A257" s="3">
        <v>21806</v>
      </c>
      <c r="B257" s="4">
        <v>42</v>
      </c>
      <c r="G257" s="5"/>
    </row>
    <row r="258" spans="1:7" ht="15.75" customHeight="1">
      <c r="A258" s="3">
        <v>21807</v>
      </c>
      <c r="B258" s="4">
        <v>34</v>
      </c>
      <c r="G258" s="5"/>
    </row>
    <row r="259" spans="1:7" ht="15.75" customHeight="1">
      <c r="A259" s="3">
        <v>21808</v>
      </c>
      <c r="B259" s="4">
        <v>40</v>
      </c>
      <c r="G259" s="5"/>
    </row>
    <row r="260" spans="1:7" ht="15.75" customHeight="1">
      <c r="A260" s="3">
        <v>21809</v>
      </c>
      <c r="B260" s="4">
        <v>56</v>
      </c>
      <c r="G260" s="5"/>
    </row>
    <row r="261" spans="1:7" ht="15.75" customHeight="1">
      <c r="A261" s="3">
        <v>21810</v>
      </c>
      <c r="B261" s="4">
        <v>44</v>
      </c>
      <c r="G261" s="5"/>
    </row>
    <row r="262" spans="1:7" ht="15.75" customHeight="1">
      <c r="A262" s="3">
        <v>21811</v>
      </c>
      <c r="B262" s="4">
        <v>53</v>
      </c>
      <c r="G262" s="5"/>
    </row>
    <row r="263" spans="1:7" ht="15.75" customHeight="1">
      <c r="A263" s="3">
        <v>21812</v>
      </c>
      <c r="B263" s="4">
        <v>55</v>
      </c>
      <c r="G263" s="5"/>
    </row>
    <row r="264" spans="1:7" ht="15.75" customHeight="1">
      <c r="A264" s="3">
        <v>21813</v>
      </c>
      <c r="B264" s="4">
        <v>39</v>
      </c>
      <c r="G264" s="5"/>
    </row>
    <row r="265" spans="1:7" ht="15.75" customHeight="1">
      <c r="A265" s="3">
        <v>21814</v>
      </c>
      <c r="B265" s="4">
        <v>59</v>
      </c>
      <c r="G265" s="5"/>
    </row>
    <row r="266" spans="1:7" ht="15.75" customHeight="1">
      <c r="A266" s="3">
        <v>21815</v>
      </c>
      <c r="B266" s="4">
        <v>55</v>
      </c>
      <c r="G266" s="5"/>
    </row>
    <row r="267" spans="1:7" ht="15.75" customHeight="1">
      <c r="A267" s="3">
        <v>21816</v>
      </c>
      <c r="B267" s="4">
        <v>73</v>
      </c>
      <c r="G267" s="5"/>
    </row>
    <row r="268" spans="1:7" ht="15.75" customHeight="1">
      <c r="A268" s="3">
        <v>21817</v>
      </c>
      <c r="B268" s="4">
        <v>55</v>
      </c>
      <c r="G268" s="5"/>
    </row>
    <row r="269" spans="1:7" ht="15.75" customHeight="1">
      <c r="A269" s="3">
        <v>21818</v>
      </c>
      <c r="B269" s="4">
        <v>44</v>
      </c>
      <c r="G269" s="5"/>
    </row>
    <row r="270" spans="1:7" ht="15.75" customHeight="1">
      <c r="A270" s="3">
        <v>21819</v>
      </c>
      <c r="B270" s="4">
        <v>43</v>
      </c>
      <c r="G270" s="5"/>
    </row>
    <row r="271" spans="1:7" ht="15.75" customHeight="1">
      <c r="A271" s="3">
        <v>21820</v>
      </c>
      <c r="B271" s="4">
        <v>40</v>
      </c>
      <c r="G271" s="5"/>
    </row>
    <row r="272" spans="1:7" ht="15.75" customHeight="1">
      <c r="A272" s="3">
        <v>21821</v>
      </c>
      <c r="B272" s="4">
        <v>47</v>
      </c>
      <c r="G272" s="5"/>
    </row>
    <row r="273" spans="1:7" ht="15.75" customHeight="1">
      <c r="A273" s="3">
        <v>21822</v>
      </c>
      <c r="B273" s="4">
        <v>51</v>
      </c>
      <c r="G273" s="5"/>
    </row>
    <row r="274" spans="1:7" ht="15.75" customHeight="1">
      <c r="A274" s="3">
        <v>21823</v>
      </c>
      <c r="B274" s="4">
        <v>56</v>
      </c>
      <c r="G274" s="5"/>
    </row>
    <row r="275" spans="1:7" ht="15.75" customHeight="1">
      <c r="A275" s="3">
        <v>21824</v>
      </c>
      <c r="B275" s="4">
        <v>49</v>
      </c>
      <c r="G275" s="5"/>
    </row>
    <row r="276" spans="1:7" ht="15.75" customHeight="1">
      <c r="A276" s="3">
        <v>21825</v>
      </c>
      <c r="B276" s="4">
        <v>54</v>
      </c>
      <c r="G276" s="5"/>
    </row>
    <row r="277" spans="1:7" ht="15.75" customHeight="1">
      <c r="A277" s="3">
        <v>21826</v>
      </c>
      <c r="B277" s="4">
        <v>56</v>
      </c>
      <c r="G277" s="5"/>
    </row>
    <row r="278" spans="1:7" ht="15.75" customHeight="1">
      <c r="A278" s="3">
        <v>21827</v>
      </c>
      <c r="B278" s="4">
        <v>47</v>
      </c>
      <c r="G278" s="5"/>
    </row>
    <row r="279" spans="1:7" ht="15.75" customHeight="1">
      <c r="A279" s="3">
        <v>21828</v>
      </c>
      <c r="B279" s="4">
        <v>44</v>
      </c>
      <c r="G279" s="5"/>
    </row>
    <row r="280" spans="1:7" ht="15.75" customHeight="1">
      <c r="A280" s="3">
        <v>21829</v>
      </c>
      <c r="B280" s="4">
        <v>43</v>
      </c>
      <c r="G280" s="5"/>
    </row>
    <row r="281" spans="1:7" ht="15.75" customHeight="1">
      <c r="A281" s="3">
        <v>21830</v>
      </c>
      <c r="B281" s="4">
        <v>42</v>
      </c>
      <c r="G281" s="5"/>
    </row>
    <row r="282" spans="1:7" ht="15.75" customHeight="1">
      <c r="A282" s="3">
        <v>21831</v>
      </c>
      <c r="B282" s="4">
        <v>45</v>
      </c>
      <c r="G282" s="5"/>
    </row>
    <row r="283" spans="1:7" ht="15.75" customHeight="1">
      <c r="A283" s="3">
        <v>21832</v>
      </c>
      <c r="B283" s="4">
        <v>50</v>
      </c>
      <c r="G283" s="5"/>
    </row>
    <row r="284" spans="1:7" ht="15.75" customHeight="1">
      <c r="A284" s="3">
        <v>21833</v>
      </c>
      <c r="B284" s="4">
        <v>48</v>
      </c>
      <c r="G284" s="5"/>
    </row>
    <row r="285" spans="1:7" ht="15.75" customHeight="1">
      <c r="A285" s="3">
        <v>21834</v>
      </c>
      <c r="B285" s="4">
        <v>43</v>
      </c>
      <c r="G285" s="5"/>
    </row>
    <row r="286" spans="1:7" ht="15.75" customHeight="1">
      <c r="A286" s="3">
        <v>21835</v>
      </c>
      <c r="B286" s="4">
        <v>40</v>
      </c>
      <c r="G286" s="5"/>
    </row>
    <row r="287" spans="1:7" ht="15.75" customHeight="1">
      <c r="A287" s="3">
        <v>21836</v>
      </c>
      <c r="B287" s="4">
        <v>59</v>
      </c>
      <c r="G287" s="5"/>
    </row>
    <row r="288" spans="1:7" ht="15.75" customHeight="1">
      <c r="A288" s="3">
        <v>21837</v>
      </c>
      <c r="B288" s="4">
        <v>41</v>
      </c>
      <c r="G288" s="5"/>
    </row>
    <row r="289" spans="1:7" ht="15.75" customHeight="1">
      <c r="A289" s="3">
        <v>21838</v>
      </c>
      <c r="B289" s="4">
        <v>42</v>
      </c>
      <c r="G289" s="5"/>
    </row>
    <row r="290" spans="1:7" ht="15.75" customHeight="1">
      <c r="A290" s="3">
        <v>21839</v>
      </c>
      <c r="B290" s="4">
        <v>51</v>
      </c>
      <c r="G290" s="5"/>
    </row>
    <row r="291" spans="1:7" ht="15.75" customHeight="1">
      <c r="A291" s="3">
        <v>21840</v>
      </c>
      <c r="B291" s="4">
        <v>49</v>
      </c>
      <c r="G291" s="5"/>
    </row>
    <row r="292" spans="1:7" ht="15.75" customHeight="1">
      <c r="A292" s="3">
        <v>21841</v>
      </c>
      <c r="B292" s="4">
        <v>45</v>
      </c>
      <c r="G292" s="5"/>
    </row>
    <row r="293" spans="1:7" ht="15.75" customHeight="1">
      <c r="A293" s="3">
        <v>21842</v>
      </c>
      <c r="B293" s="4">
        <v>43</v>
      </c>
      <c r="G293" s="5"/>
    </row>
    <row r="294" spans="1:7" ht="15.75" customHeight="1">
      <c r="A294" s="3">
        <v>21843</v>
      </c>
      <c r="B294" s="4">
        <v>42</v>
      </c>
      <c r="G294" s="5"/>
    </row>
    <row r="295" spans="1:7" ht="15.75" customHeight="1">
      <c r="A295" s="3">
        <v>21844</v>
      </c>
      <c r="B295" s="4">
        <v>38</v>
      </c>
      <c r="G295" s="5"/>
    </row>
    <row r="296" spans="1:7" ht="15.75" customHeight="1">
      <c r="A296" s="3">
        <v>21845</v>
      </c>
      <c r="B296" s="4">
        <v>47</v>
      </c>
      <c r="G296" s="5"/>
    </row>
    <row r="297" spans="1:7" ht="15.75" customHeight="1">
      <c r="A297" s="3">
        <v>21846</v>
      </c>
      <c r="B297" s="4">
        <v>38</v>
      </c>
      <c r="G297" s="5"/>
    </row>
    <row r="298" spans="1:7" ht="15.75" customHeight="1">
      <c r="A298" s="3">
        <v>21847</v>
      </c>
      <c r="B298" s="4">
        <v>36</v>
      </c>
      <c r="G298" s="5"/>
    </row>
    <row r="299" spans="1:7" ht="15.75" customHeight="1">
      <c r="A299" s="3">
        <v>21848</v>
      </c>
      <c r="B299" s="4">
        <v>42</v>
      </c>
      <c r="G299" s="5"/>
    </row>
    <row r="300" spans="1:7" ht="15.75" customHeight="1">
      <c r="A300" s="3">
        <v>21849</v>
      </c>
      <c r="B300" s="4">
        <v>35</v>
      </c>
      <c r="G300" s="5"/>
    </row>
    <row r="301" spans="1:7" ht="15.75" customHeight="1">
      <c r="A301" s="3">
        <v>21850</v>
      </c>
      <c r="B301" s="4">
        <v>28</v>
      </c>
      <c r="G301" s="5"/>
    </row>
    <row r="302" spans="1:7" ht="15.75" customHeight="1">
      <c r="A302" s="3">
        <v>21851</v>
      </c>
      <c r="B302" s="4">
        <v>44</v>
      </c>
      <c r="G302" s="5"/>
    </row>
    <row r="303" spans="1:7" ht="15.75" customHeight="1">
      <c r="A303" s="3">
        <v>21852</v>
      </c>
      <c r="B303" s="4">
        <v>36</v>
      </c>
      <c r="G303" s="5"/>
    </row>
    <row r="304" spans="1:7" ht="15.75" customHeight="1">
      <c r="A304" s="3">
        <v>21853</v>
      </c>
      <c r="B304" s="4">
        <v>45</v>
      </c>
      <c r="G304" s="5"/>
    </row>
    <row r="305" spans="1:7" ht="15.75" customHeight="1">
      <c r="A305" s="3">
        <v>21854</v>
      </c>
      <c r="B305" s="4">
        <v>46</v>
      </c>
      <c r="G305" s="5"/>
    </row>
    <row r="306" spans="1:7" ht="15.75" customHeight="1">
      <c r="A306" s="3">
        <v>21855</v>
      </c>
      <c r="B306" s="4">
        <v>48</v>
      </c>
      <c r="G306" s="5"/>
    </row>
    <row r="307" spans="1:7" ht="15.75" customHeight="1">
      <c r="A307" s="3">
        <v>21856</v>
      </c>
      <c r="B307" s="4">
        <v>49</v>
      </c>
      <c r="G307" s="5"/>
    </row>
    <row r="308" spans="1:7" ht="15.75" customHeight="1">
      <c r="A308" s="3">
        <v>21857</v>
      </c>
      <c r="B308" s="4">
        <v>43</v>
      </c>
      <c r="G308" s="5"/>
    </row>
    <row r="309" spans="1:7" ht="15.75" customHeight="1">
      <c r="A309" s="3">
        <v>21858</v>
      </c>
      <c r="B309" s="4">
        <v>42</v>
      </c>
      <c r="G309" s="5"/>
    </row>
    <row r="310" spans="1:7" ht="15.75" customHeight="1">
      <c r="A310" s="3">
        <v>21859</v>
      </c>
      <c r="B310" s="4">
        <v>59</v>
      </c>
      <c r="G310" s="5"/>
    </row>
    <row r="311" spans="1:7" ht="15.75" customHeight="1">
      <c r="A311" s="3">
        <v>21860</v>
      </c>
      <c r="B311" s="4">
        <v>45</v>
      </c>
      <c r="G311" s="5"/>
    </row>
    <row r="312" spans="1:7" ht="15.75" customHeight="1">
      <c r="A312" s="3">
        <v>21861</v>
      </c>
      <c r="B312" s="4">
        <v>52</v>
      </c>
      <c r="G312" s="5"/>
    </row>
    <row r="313" spans="1:7" ht="15.75" customHeight="1">
      <c r="A313" s="3">
        <v>21862</v>
      </c>
      <c r="B313" s="4">
        <v>46</v>
      </c>
      <c r="G313" s="5"/>
    </row>
    <row r="314" spans="1:7" ht="15.75" customHeight="1">
      <c r="A314" s="3">
        <v>21863</v>
      </c>
      <c r="B314" s="4">
        <v>42</v>
      </c>
      <c r="G314" s="5"/>
    </row>
    <row r="315" spans="1:7" ht="15.75" customHeight="1">
      <c r="A315" s="3">
        <v>21864</v>
      </c>
      <c r="B315" s="4">
        <v>40</v>
      </c>
      <c r="G315" s="5"/>
    </row>
    <row r="316" spans="1:7" ht="15.75" customHeight="1">
      <c r="A316" s="3">
        <v>21865</v>
      </c>
      <c r="B316" s="4">
        <v>40</v>
      </c>
      <c r="G316" s="5"/>
    </row>
    <row r="317" spans="1:7" ht="15.75" customHeight="1">
      <c r="A317" s="3">
        <v>21866</v>
      </c>
      <c r="B317" s="4">
        <v>45</v>
      </c>
      <c r="G317" s="5"/>
    </row>
    <row r="318" spans="1:7" ht="15.75" customHeight="1">
      <c r="A318" s="3">
        <v>21867</v>
      </c>
      <c r="B318" s="4">
        <v>35</v>
      </c>
      <c r="G318" s="5"/>
    </row>
    <row r="319" spans="1:7" ht="15.75" customHeight="1">
      <c r="A319" s="3">
        <v>21868</v>
      </c>
      <c r="B319" s="4">
        <v>35</v>
      </c>
      <c r="G319" s="5"/>
    </row>
    <row r="320" spans="1:7" ht="15.75" customHeight="1">
      <c r="A320" s="3">
        <v>21869</v>
      </c>
      <c r="B320" s="4">
        <v>40</v>
      </c>
      <c r="G320" s="5"/>
    </row>
    <row r="321" spans="1:7" ht="15.75" customHeight="1">
      <c r="A321" s="3">
        <v>21870</v>
      </c>
      <c r="B321" s="4">
        <v>39</v>
      </c>
      <c r="G321" s="5"/>
    </row>
    <row r="322" spans="1:7" ht="15.75" customHeight="1">
      <c r="A322" s="3">
        <v>21871</v>
      </c>
      <c r="B322" s="4">
        <v>33</v>
      </c>
      <c r="G322" s="5"/>
    </row>
    <row r="323" spans="1:7" ht="15.75" customHeight="1">
      <c r="A323" s="3">
        <v>21872</v>
      </c>
      <c r="B323" s="4">
        <v>42</v>
      </c>
      <c r="G323" s="5"/>
    </row>
    <row r="324" spans="1:7" ht="15.75" customHeight="1">
      <c r="A324" s="3">
        <v>21873</v>
      </c>
      <c r="B324" s="4">
        <v>47</v>
      </c>
      <c r="G324" s="5"/>
    </row>
    <row r="325" spans="1:7" ht="15.75" customHeight="1">
      <c r="A325" s="3">
        <v>21874</v>
      </c>
      <c r="B325" s="4">
        <v>51</v>
      </c>
      <c r="G325" s="5"/>
    </row>
    <row r="326" spans="1:7" ht="15.75" customHeight="1">
      <c r="A326" s="3">
        <v>21875</v>
      </c>
      <c r="B326" s="4">
        <v>44</v>
      </c>
      <c r="G326" s="5"/>
    </row>
    <row r="327" spans="1:7" ht="15.75" customHeight="1">
      <c r="A327" s="3">
        <v>21876</v>
      </c>
      <c r="B327" s="4">
        <v>40</v>
      </c>
      <c r="G327" s="5"/>
    </row>
    <row r="328" spans="1:7" ht="15.75" customHeight="1">
      <c r="A328" s="3">
        <v>21877</v>
      </c>
      <c r="B328" s="4">
        <v>57</v>
      </c>
      <c r="G328" s="5"/>
    </row>
    <row r="329" spans="1:7" ht="15.75" customHeight="1">
      <c r="A329" s="3">
        <v>21878</v>
      </c>
      <c r="B329" s="4">
        <v>49</v>
      </c>
      <c r="G329" s="5"/>
    </row>
    <row r="330" spans="1:7" ht="15.75" customHeight="1">
      <c r="A330" s="3">
        <v>21879</v>
      </c>
      <c r="B330" s="4">
        <v>45</v>
      </c>
      <c r="G330" s="5"/>
    </row>
    <row r="331" spans="1:7" ht="15.75" customHeight="1">
      <c r="A331" s="3">
        <v>21880</v>
      </c>
      <c r="B331" s="4">
        <v>49</v>
      </c>
      <c r="G331" s="5"/>
    </row>
    <row r="332" spans="1:7" ht="15.75" customHeight="1">
      <c r="A332" s="3">
        <v>21881</v>
      </c>
      <c r="B332" s="4">
        <v>51</v>
      </c>
      <c r="G332" s="5"/>
    </row>
    <row r="333" spans="1:7" ht="15.75" customHeight="1">
      <c r="A333" s="3">
        <v>21882</v>
      </c>
      <c r="B333" s="4">
        <v>46</v>
      </c>
      <c r="G333" s="5"/>
    </row>
    <row r="334" spans="1:7" ht="15.75" customHeight="1">
      <c r="A334" s="3">
        <v>21883</v>
      </c>
      <c r="B334" s="4">
        <v>44</v>
      </c>
      <c r="G334" s="5"/>
    </row>
    <row r="335" spans="1:7" ht="15.75" customHeight="1">
      <c r="A335" s="3">
        <v>21884</v>
      </c>
      <c r="B335" s="4">
        <v>52</v>
      </c>
      <c r="G335" s="5"/>
    </row>
    <row r="336" spans="1:7" ht="15.75" customHeight="1">
      <c r="A336" s="3">
        <v>21885</v>
      </c>
      <c r="B336" s="4">
        <v>45</v>
      </c>
      <c r="G336" s="5"/>
    </row>
    <row r="337" spans="1:7" ht="15.75" customHeight="1">
      <c r="A337" s="3">
        <v>21886</v>
      </c>
      <c r="B337" s="4">
        <v>32</v>
      </c>
      <c r="G337" s="5"/>
    </row>
    <row r="338" spans="1:7" ht="15.75" customHeight="1">
      <c r="A338" s="3">
        <v>21887</v>
      </c>
      <c r="B338" s="4">
        <v>46</v>
      </c>
      <c r="G338" s="5"/>
    </row>
    <row r="339" spans="1:7" ht="15.75" customHeight="1">
      <c r="A339" s="3">
        <v>21888</v>
      </c>
      <c r="B339" s="4">
        <v>41</v>
      </c>
      <c r="G339" s="5"/>
    </row>
    <row r="340" spans="1:7" ht="15.75" customHeight="1">
      <c r="A340" s="3">
        <v>21889</v>
      </c>
      <c r="B340" s="4">
        <v>34</v>
      </c>
      <c r="G340" s="5"/>
    </row>
    <row r="341" spans="1:7" ht="15.75" customHeight="1">
      <c r="A341" s="3">
        <v>21890</v>
      </c>
      <c r="B341" s="4">
        <v>33</v>
      </c>
      <c r="G341" s="5"/>
    </row>
    <row r="342" spans="1:7" ht="15.75" customHeight="1">
      <c r="A342" s="3">
        <v>21891</v>
      </c>
      <c r="B342" s="4">
        <v>36</v>
      </c>
      <c r="G342" s="5"/>
    </row>
    <row r="343" spans="1:7" ht="15.75" customHeight="1">
      <c r="A343" s="3">
        <v>21892</v>
      </c>
      <c r="B343" s="4">
        <v>49</v>
      </c>
      <c r="G343" s="5"/>
    </row>
    <row r="344" spans="1:7" ht="15.75" customHeight="1">
      <c r="A344" s="3">
        <v>21893</v>
      </c>
      <c r="B344" s="4">
        <v>43</v>
      </c>
      <c r="G344" s="5"/>
    </row>
    <row r="345" spans="1:7" ht="15.75" customHeight="1">
      <c r="A345" s="3">
        <v>21894</v>
      </c>
      <c r="B345" s="4">
        <v>43</v>
      </c>
      <c r="G345" s="5"/>
    </row>
    <row r="346" spans="1:7" ht="15.75" customHeight="1">
      <c r="A346" s="3">
        <v>21895</v>
      </c>
      <c r="B346" s="4">
        <v>34</v>
      </c>
      <c r="G346" s="5"/>
    </row>
    <row r="347" spans="1:7" ht="15.75" customHeight="1">
      <c r="A347" s="3">
        <v>21896</v>
      </c>
      <c r="B347" s="4">
        <v>39</v>
      </c>
      <c r="G347" s="5"/>
    </row>
    <row r="348" spans="1:7" ht="15.75" customHeight="1">
      <c r="A348" s="3">
        <v>21897</v>
      </c>
      <c r="B348" s="4">
        <v>35</v>
      </c>
      <c r="G348" s="5"/>
    </row>
    <row r="349" spans="1:7" ht="15.75" customHeight="1">
      <c r="A349" s="3">
        <v>21898</v>
      </c>
      <c r="B349" s="4">
        <v>52</v>
      </c>
      <c r="G349" s="5"/>
    </row>
    <row r="350" spans="1:7" ht="15.75" customHeight="1">
      <c r="A350" s="3">
        <v>21899</v>
      </c>
      <c r="B350" s="4">
        <v>47</v>
      </c>
      <c r="G350" s="5"/>
    </row>
    <row r="351" spans="1:7" ht="15.75" customHeight="1">
      <c r="A351" s="3">
        <v>21900</v>
      </c>
      <c r="B351" s="4">
        <v>52</v>
      </c>
      <c r="G351" s="5"/>
    </row>
    <row r="352" spans="1:7" ht="15.75" customHeight="1">
      <c r="A352" s="3">
        <v>21901</v>
      </c>
      <c r="B352" s="4">
        <v>39</v>
      </c>
      <c r="G352" s="5"/>
    </row>
    <row r="353" spans="1:7" ht="15.75" customHeight="1">
      <c r="A353" s="3">
        <v>21902</v>
      </c>
      <c r="B353" s="4">
        <v>40</v>
      </c>
      <c r="G353" s="5"/>
    </row>
    <row r="354" spans="1:7" ht="15.75" customHeight="1">
      <c r="A354" s="3">
        <v>21903</v>
      </c>
      <c r="B354" s="4">
        <v>42</v>
      </c>
      <c r="G354" s="5"/>
    </row>
    <row r="355" spans="1:7" ht="15.75" customHeight="1">
      <c r="A355" s="3">
        <v>21904</v>
      </c>
      <c r="B355" s="4">
        <v>42</v>
      </c>
      <c r="G355" s="5"/>
    </row>
    <row r="356" spans="1:7" ht="15.75" customHeight="1">
      <c r="A356" s="3">
        <v>21905</v>
      </c>
      <c r="B356" s="4">
        <v>53</v>
      </c>
      <c r="G356" s="5"/>
    </row>
    <row r="357" spans="1:7" ht="15.75" customHeight="1">
      <c r="A357" s="3">
        <v>21906</v>
      </c>
      <c r="B357" s="4">
        <v>39</v>
      </c>
      <c r="G357" s="5"/>
    </row>
    <row r="358" spans="1:7" ht="15.75" customHeight="1">
      <c r="A358" s="3">
        <v>21907</v>
      </c>
      <c r="B358" s="4">
        <v>40</v>
      </c>
      <c r="G358" s="5"/>
    </row>
    <row r="359" spans="1:7" ht="15.75" customHeight="1">
      <c r="A359" s="3">
        <v>21908</v>
      </c>
      <c r="B359" s="4">
        <v>38</v>
      </c>
      <c r="G359" s="5"/>
    </row>
    <row r="360" spans="1:7" ht="15.75" customHeight="1">
      <c r="A360" s="3">
        <v>21909</v>
      </c>
      <c r="B360" s="4">
        <v>44</v>
      </c>
      <c r="G360" s="5"/>
    </row>
    <row r="361" spans="1:7" ht="15.75" customHeight="1">
      <c r="A361" s="3">
        <v>21910</v>
      </c>
      <c r="B361" s="4">
        <v>34</v>
      </c>
      <c r="G361" s="5"/>
    </row>
    <row r="362" spans="1:7" ht="15.75" customHeight="1">
      <c r="A362" s="3">
        <v>21911</v>
      </c>
      <c r="B362" s="4">
        <v>37</v>
      </c>
      <c r="G362" s="5"/>
    </row>
    <row r="363" spans="1:7" ht="15.75" customHeight="1">
      <c r="A363" s="3">
        <v>21912</v>
      </c>
      <c r="B363" s="4">
        <v>52</v>
      </c>
      <c r="G363" s="5"/>
    </row>
    <row r="364" spans="1:7" ht="15.75" customHeight="1">
      <c r="A364" s="3">
        <v>21913</v>
      </c>
      <c r="B364" s="4">
        <v>48</v>
      </c>
      <c r="G364" s="5"/>
    </row>
    <row r="365" spans="1:7" ht="15.75" customHeight="1">
      <c r="A365" s="3">
        <v>21914</v>
      </c>
      <c r="B365" s="4">
        <v>55</v>
      </c>
      <c r="G365" s="5"/>
    </row>
    <row r="366" spans="1:7" ht="15.75" customHeight="1">
      <c r="A366" s="3">
        <v>21915</v>
      </c>
      <c r="B366" s="4">
        <v>50</v>
      </c>
      <c r="G366" s="5"/>
    </row>
    <row r="367" spans="1:7" ht="15.75" hidden="1" customHeight="1"/>
    <row r="368" spans="1:7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A1:G1000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zoomScale="55" zoomScaleNormal="55" workbookViewId="0">
      <selection activeCell="A366" sqref="A1:B366"/>
    </sheetView>
  </sheetViews>
  <sheetFormatPr defaultColWidth="11.25" defaultRowHeight="15" customHeight="1"/>
  <cols>
    <col min="1" max="1" width="11" customWidth="1"/>
    <col min="2" max="2" width="11.6875" customWidth="1"/>
    <col min="3" max="3" width="25.375" customWidth="1"/>
    <col min="4" max="4" width="12.875" customWidth="1"/>
    <col min="5" max="5" width="14.9375" customWidth="1"/>
    <col min="6" max="6" width="22.625" customWidth="1"/>
    <col min="7" max="7" width="24.375" customWidth="1"/>
    <col min="8" max="10" width="11" customWidth="1"/>
    <col min="11" max="11" width="20.312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11</v>
      </c>
      <c r="D1" s="2" t="s">
        <v>12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D2" s="8"/>
      <c r="E2" s="8"/>
      <c r="F2" s="8"/>
      <c r="G2" s="5"/>
    </row>
    <row r="3" spans="1:11" ht="15.75" customHeight="1">
      <c r="A3" s="3">
        <v>21552</v>
      </c>
      <c r="B3" s="4">
        <v>32</v>
      </c>
      <c r="D3" s="8"/>
      <c r="E3" s="8"/>
      <c r="F3" s="8"/>
      <c r="G3" s="5"/>
    </row>
    <row r="4" spans="1:11" ht="15.75" customHeight="1">
      <c r="A4" s="3">
        <v>21553</v>
      </c>
      <c r="B4" s="4">
        <v>30</v>
      </c>
      <c r="D4" s="8"/>
      <c r="E4" s="8"/>
      <c r="F4" s="8"/>
      <c r="G4" s="5"/>
    </row>
    <row r="5" spans="1:11" ht="15.75" customHeight="1">
      <c r="A5" s="3">
        <v>21554</v>
      </c>
      <c r="B5" s="4">
        <v>31</v>
      </c>
      <c r="C5" s="8"/>
      <c r="D5" s="8"/>
      <c r="E5" s="8"/>
      <c r="F5" s="8"/>
      <c r="G5" s="5"/>
    </row>
    <row r="6" spans="1:11" ht="15.75" customHeight="1">
      <c r="A6" s="3">
        <v>21555</v>
      </c>
      <c r="B6" s="4">
        <v>44</v>
      </c>
      <c r="C6" s="8"/>
      <c r="D6" s="8"/>
      <c r="E6" s="8"/>
      <c r="F6" s="8"/>
      <c r="G6" s="5"/>
    </row>
    <row r="7" spans="1:11" ht="15.75" customHeight="1">
      <c r="A7" s="3">
        <v>21556</v>
      </c>
      <c r="B7" s="4">
        <v>29</v>
      </c>
      <c r="C7" s="8"/>
      <c r="D7" s="8"/>
      <c r="E7" s="8"/>
      <c r="F7" s="8"/>
      <c r="G7" s="5"/>
    </row>
    <row r="8" spans="1:11" ht="15.75" customHeight="1">
      <c r="A8" s="3">
        <v>21557</v>
      </c>
      <c r="B8" s="4">
        <v>45</v>
      </c>
      <c r="C8" s="8"/>
      <c r="D8" s="8"/>
      <c r="E8" s="8"/>
      <c r="F8" s="8"/>
      <c r="G8" s="5"/>
      <c r="J8" s="6" t="s">
        <v>7</v>
      </c>
      <c r="K8" s="7"/>
    </row>
    <row r="9" spans="1:11" ht="15.75" customHeight="1">
      <c r="A9" s="3">
        <v>21558</v>
      </c>
      <c r="B9" s="4">
        <v>43</v>
      </c>
      <c r="C9" s="8"/>
      <c r="D9" s="8"/>
      <c r="E9" s="8"/>
      <c r="F9" s="8"/>
      <c r="G9" s="5"/>
      <c r="J9" s="2" t="s">
        <v>8</v>
      </c>
      <c r="K9" s="8"/>
    </row>
    <row r="10" spans="1:11" ht="15.75" customHeight="1">
      <c r="A10" s="3">
        <v>21559</v>
      </c>
      <c r="B10" s="4">
        <v>38</v>
      </c>
      <c r="C10" s="8"/>
      <c r="D10" s="8"/>
      <c r="E10" s="8"/>
      <c r="F10" s="8"/>
      <c r="G10" s="5"/>
      <c r="J10" s="2" t="s">
        <v>9</v>
      </c>
      <c r="K10" s="5"/>
    </row>
    <row r="11" spans="1:11" ht="15.75" customHeight="1">
      <c r="A11" s="3">
        <v>21560</v>
      </c>
      <c r="B11" s="4">
        <v>27</v>
      </c>
      <c r="C11" s="8"/>
      <c r="D11" s="8"/>
      <c r="E11" s="8"/>
      <c r="F11" s="8"/>
      <c r="G11" s="5"/>
      <c r="J11" s="11" t="s">
        <v>10</v>
      </c>
      <c r="K11" s="12"/>
    </row>
    <row r="12" spans="1:11" ht="15.75" customHeight="1">
      <c r="A12" s="3">
        <v>21561</v>
      </c>
      <c r="B12" s="4">
        <v>38</v>
      </c>
      <c r="C12" s="8"/>
      <c r="D12" s="8"/>
      <c r="E12" s="8"/>
      <c r="F12" s="8"/>
      <c r="G12" s="5"/>
    </row>
    <row r="13" spans="1:11" ht="15.75" customHeight="1">
      <c r="A13" s="3">
        <v>21562</v>
      </c>
      <c r="B13" s="4">
        <v>33</v>
      </c>
      <c r="C13" s="8"/>
      <c r="D13" s="8"/>
      <c r="E13" s="8"/>
      <c r="F13" s="8"/>
      <c r="G13" s="5"/>
    </row>
    <row r="14" spans="1:11" ht="15.75" customHeight="1">
      <c r="A14" s="3">
        <v>21563</v>
      </c>
      <c r="B14" s="4">
        <v>55</v>
      </c>
      <c r="C14" s="8"/>
      <c r="D14" s="8"/>
      <c r="E14" s="8"/>
      <c r="F14" s="8"/>
      <c r="G14" s="5"/>
    </row>
    <row r="15" spans="1:11" ht="15.75" customHeight="1">
      <c r="A15" s="3">
        <v>21564</v>
      </c>
      <c r="B15" s="4">
        <v>47</v>
      </c>
      <c r="C15" s="8"/>
      <c r="D15" s="8"/>
      <c r="E15" s="8"/>
      <c r="F15" s="8"/>
      <c r="G15" s="5"/>
    </row>
    <row r="16" spans="1:11" ht="15.75" customHeight="1">
      <c r="A16" s="3">
        <v>21565</v>
      </c>
      <c r="B16" s="4">
        <v>45</v>
      </c>
      <c r="C16" s="8"/>
      <c r="D16" s="8"/>
      <c r="E16" s="8"/>
      <c r="F16" s="8"/>
      <c r="G16" s="5"/>
    </row>
    <row r="17" spans="1:7" ht="15.75" customHeight="1">
      <c r="A17" s="3">
        <v>21566</v>
      </c>
      <c r="B17" s="4">
        <v>37</v>
      </c>
      <c r="C17" s="8"/>
      <c r="D17" s="8"/>
      <c r="E17" s="8"/>
      <c r="F17" s="8"/>
      <c r="G17" s="5"/>
    </row>
    <row r="18" spans="1:7" ht="15.75" customHeight="1">
      <c r="A18" s="3">
        <v>21567</v>
      </c>
      <c r="B18" s="4">
        <v>50</v>
      </c>
      <c r="C18" s="8"/>
      <c r="D18" s="8"/>
      <c r="E18" s="8"/>
      <c r="F18" s="8"/>
      <c r="G18" s="5"/>
    </row>
    <row r="19" spans="1:7" ht="15.75" customHeight="1">
      <c r="A19" s="3">
        <v>21568</v>
      </c>
      <c r="B19" s="4">
        <v>43</v>
      </c>
      <c r="C19" s="8"/>
      <c r="D19" s="8"/>
      <c r="E19" s="8"/>
      <c r="F19" s="8"/>
      <c r="G19" s="5"/>
    </row>
    <row r="20" spans="1:7" ht="15.75" customHeight="1">
      <c r="A20" s="3">
        <v>21569</v>
      </c>
      <c r="B20" s="4">
        <v>41</v>
      </c>
      <c r="C20" s="8"/>
      <c r="D20" s="8"/>
      <c r="E20" s="8"/>
      <c r="F20" s="8"/>
      <c r="G20" s="5"/>
    </row>
    <row r="21" spans="1:7" ht="15.75" customHeight="1">
      <c r="A21" s="3">
        <v>21570</v>
      </c>
      <c r="B21" s="4">
        <v>52</v>
      </c>
      <c r="C21" s="8"/>
      <c r="D21" s="8"/>
      <c r="E21" s="8"/>
      <c r="F21" s="8"/>
      <c r="G21" s="5"/>
    </row>
    <row r="22" spans="1:7" ht="15.75" customHeight="1">
      <c r="A22" s="3">
        <v>21571</v>
      </c>
      <c r="B22" s="4">
        <v>34</v>
      </c>
      <c r="C22" s="8"/>
      <c r="D22" s="8"/>
      <c r="E22" s="8"/>
      <c r="F22" s="8"/>
      <c r="G22" s="5"/>
    </row>
    <row r="23" spans="1:7" ht="15.75" customHeight="1">
      <c r="A23" s="3">
        <v>21572</v>
      </c>
      <c r="B23" s="4">
        <v>53</v>
      </c>
      <c r="C23" s="8"/>
      <c r="D23" s="8"/>
      <c r="E23" s="8"/>
      <c r="F23" s="8"/>
      <c r="G23" s="5"/>
    </row>
    <row r="24" spans="1:7" ht="15.75" customHeight="1">
      <c r="A24" s="3">
        <v>21573</v>
      </c>
      <c r="B24" s="4">
        <v>39</v>
      </c>
      <c r="C24" s="8"/>
      <c r="D24" s="8"/>
      <c r="E24" s="8"/>
      <c r="F24" s="8"/>
      <c r="G24" s="5"/>
    </row>
    <row r="25" spans="1:7" ht="15.75" customHeight="1">
      <c r="A25" s="3">
        <v>21574</v>
      </c>
      <c r="B25" s="4">
        <v>32</v>
      </c>
      <c r="C25" s="8"/>
      <c r="D25" s="8"/>
      <c r="E25" s="8"/>
      <c r="F25" s="8"/>
      <c r="G25" s="5"/>
    </row>
    <row r="26" spans="1:7" ht="15.75" customHeight="1">
      <c r="A26" s="3">
        <v>21575</v>
      </c>
      <c r="B26" s="4">
        <v>37</v>
      </c>
      <c r="C26" s="8"/>
      <c r="D26" s="8"/>
      <c r="E26" s="8"/>
      <c r="F26" s="8"/>
      <c r="G26" s="5"/>
    </row>
    <row r="27" spans="1:7" ht="15.75" customHeight="1">
      <c r="A27" s="3">
        <v>21576</v>
      </c>
      <c r="B27" s="4">
        <v>43</v>
      </c>
      <c r="C27" s="8"/>
      <c r="D27" s="8"/>
      <c r="E27" s="8"/>
      <c r="F27" s="8"/>
      <c r="G27" s="5"/>
    </row>
    <row r="28" spans="1:7" ht="15.75" customHeight="1">
      <c r="A28" s="3">
        <v>21577</v>
      </c>
      <c r="B28" s="4">
        <v>39</v>
      </c>
      <c r="C28" s="8"/>
      <c r="D28" s="8"/>
      <c r="E28" s="8"/>
      <c r="F28" s="8"/>
      <c r="G28" s="5"/>
    </row>
    <row r="29" spans="1:7" ht="15.75" customHeight="1">
      <c r="A29" s="3">
        <v>21578</v>
      </c>
      <c r="B29" s="4">
        <v>35</v>
      </c>
      <c r="C29" s="8"/>
      <c r="D29" s="8"/>
      <c r="E29" s="8"/>
      <c r="F29" s="8"/>
      <c r="G29" s="5"/>
    </row>
    <row r="30" spans="1:7" ht="15.75" customHeight="1">
      <c r="A30" s="3">
        <v>21579</v>
      </c>
      <c r="B30" s="4">
        <v>44</v>
      </c>
      <c r="C30" s="8"/>
      <c r="D30" s="8"/>
      <c r="E30" s="8"/>
      <c r="F30" s="8"/>
      <c r="G30" s="5"/>
    </row>
    <row r="31" spans="1:7" ht="15.75" customHeight="1">
      <c r="A31" s="3">
        <v>21580</v>
      </c>
      <c r="B31" s="4">
        <v>38</v>
      </c>
      <c r="C31" s="8"/>
      <c r="D31" s="8"/>
      <c r="E31" s="8"/>
      <c r="F31" s="8"/>
      <c r="G31" s="5"/>
    </row>
    <row r="32" spans="1:7" ht="15.75" customHeight="1">
      <c r="A32" s="3">
        <v>21581</v>
      </c>
      <c r="B32" s="4">
        <v>24</v>
      </c>
      <c r="C32" s="8"/>
      <c r="D32" s="8"/>
      <c r="E32" s="8"/>
      <c r="F32" s="8"/>
      <c r="G32" s="5"/>
    </row>
    <row r="33" spans="1:7" ht="15.75" customHeight="1">
      <c r="A33" s="3">
        <v>21582</v>
      </c>
      <c r="B33" s="4">
        <v>23</v>
      </c>
      <c r="C33" s="8"/>
      <c r="D33" s="8"/>
      <c r="E33" s="8"/>
      <c r="F33" s="8"/>
      <c r="G33" s="5"/>
    </row>
    <row r="34" spans="1:7" ht="15.75" customHeight="1">
      <c r="A34" s="3">
        <v>21583</v>
      </c>
      <c r="B34" s="4">
        <v>31</v>
      </c>
      <c r="C34" s="8"/>
      <c r="D34" s="8"/>
      <c r="E34" s="8"/>
      <c r="F34" s="8"/>
      <c r="G34" s="5"/>
    </row>
    <row r="35" spans="1:7" ht="15.75" customHeight="1">
      <c r="A35" s="3">
        <v>21584</v>
      </c>
      <c r="B35" s="4">
        <v>44</v>
      </c>
      <c r="C35" s="8"/>
      <c r="D35" s="8"/>
      <c r="E35" s="8"/>
      <c r="F35" s="8"/>
      <c r="G35" s="5"/>
    </row>
    <row r="36" spans="1:7" ht="15.75" customHeight="1">
      <c r="A36" s="3">
        <v>21585</v>
      </c>
      <c r="B36" s="4">
        <v>38</v>
      </c>
      <c r="C36" s="8"/>
      <c r="D36" s="8"/>
      <c r="E36" s="8"/>
      <c r="F36" s="8"/>
      <c r="G36" s="5"/>
    </row>
    <row r="37" spans="1:7" ht="15.75" customHeight="1">
      <c r="A37" s="3">
        <v>21586</v>
      </c>
      <c r="B37" s="4">
        <v>50</v>
      </c>
      <c r="C37" s="8"/>
      <c r="D37" s="8"/>
      <c r="E37" s="8"/>
      <c r="F37" s="8"/>
      <c r="G37" s="5"/>
    </row>
    <row r="38" spans="1:7" ht="15.75" customHeight="1">
      <c r="A38" s="3">
        <v>21587</v>
      </c>
      <c r="B38" s="4">
        <v>38</v>
      </c>
      <c r="C38" s="8"/>
      <c r="D38" s="8"/>
      <c r="E38" s="8"/>
      <c r="F38" s="8"/>
      <c r="G38" s="5"/>
    </row>
    <row r="39" spans="1:7" ht="15.75" customHeight="1">
      <c r="A39" s="3">
        <v>21588</v>
      </c>
      <c r="B39" s="4">
        <v>51</v>
      </c>
      <c r="C39" s="8"/>
      <c r="D39" s="8"/>
      <c r="E39" s="8"/>
      <c r="F39" s="8"/>
      <c r="G39" s="5"/>
    </row>
    <row r="40" spans="1:7" ht="15.75" customHeight="1">
      <c r="A40" s="3">
        <v>21589</v>
      </c>
      <c r="B40" s="4">
        <v>31</v>
      </c>
      <c r="C40" s="8"/>
      <c r="D40" s="8"/>
      <c r="E40" s="8"/>
      <c r="F40" s="8"/>
      <c r="G40" s="5"/>
    </row>
    <row r="41" spans="1:7" ht="15.75" customHeight="1">
      <c r="A41" s="3">
        <v>21590</v>
      </c>
      <c r="B41" s="4">
        <v>31</v>
      </c>
      <c r="C41" s="8"/>
      <c r="D41" s="8"/>
      <c r="E41" s="8"/>
      <c r="F41" s="8"/>
      <c r="G41" s="5"/>
    </row>
    <row r="42" spans="1:7" ht="15.75" customHeight="1">
      <c r="A42" s="3">
        <v>21591</v>
      </c>
      <c r="B42" s="4">
        <v>51</v>
      </c>
      <c r="C42" s="8"/>
      <c r="D42" s="8"/>
      <c r="E42" s="8"/>
      <c r="F42" s="8"/>
      <c r="G42" s="5"/>
    </row>
    <row r="43" spans="1:7" ht="15.75" customHeight="1">
      <c r="A43" s="3">
        <v>21592</v>
      </c>
      <c r="B43" s="4">
        <v>36</v>
      </c>
      <c r="C43" s="8"/>
      <c r="D43" s="8"/>
      <c r="E43" s="8"/>
      <c r="F43" s="8"/>
      <c r="G43" s="5"/>
    </row>
    <row r="44" spans="1:7" ht="15.75" customHeight="1">
      <c r="A44" s="3">
        <v>21593</v>
      </c>
      <c r="B44" s="4">
        <v>45</v>
      </c>
      <c r="C44" s="8"/>
      <c r="D44" s="8"/>
      <c r="E44" s="8"/>
      <c r="F44" s="8"/>
      <c r="G44" s="5"/>
    </row>
    <row r="45" spans="1:7" ht="15.75" customHeight="1">
      <c r="A45" s="3">
        <v>21594</v>
      </c>
      <c r="B45" s="4">
        <v>51</v>
      </c>
      <c r="C45" s="8"/>
      <c r="D45" s="8"/>
      <c r="E45" s="8"/>
      <c r="F45" s="8"/>
      <c r="G45" s="5"/>
    </row>
    <row r="46" spans="1:7" ht="15.75" customHeight="1">
      <c r="A46" s="3">
        <v>21595</v>
      </c>
      <c r="B46" s="4">
        <v>34</v>
      </c>
      <c r="C46" s="8"/>
      <c r="D46" s="8"/>
      <c r="E46" s="8"/>
      <c r="F46" s="8"/>
      <c r="G46" s="5"/>
    </row>
    <row r="47" spans="1:7" ht="15.75" customHeight="1">
      <c r="A47" s="3">
        <v>21596</v>
      </c>
      <c r="B47" s="4">
        <v>52</v>
      </c>
      <c r="C47" s="8"/>
      <c r="D47" s="8"/>
      <c r="E47" s="8"/>
      <c r="F47" s="8"/>
      <c r="G47" s="5"/>
    </row>
    <row r="48" spans="1:7" ht="15.75" customHeight="1">
      <c r="A48" s="3">
        <v>21597</v>
      </c>
      <c r="B48" s="4">
        <v>47</v>
      </c>
      <c r="C48" s="8"/>
      <c r="D48" s="8"/>
      <c r="E48" s="8"/>
      <c r="F48" s="8"/>
      <c r="G48" s="5"/>
    </row>
    <row r="49" spans="1:7" ht="15.75" customHeight="1">
      <c r="A49" s="3">
        <v>21598</v>
      </c>
      <c r="B49" s="4">
        <v>45</v>
      </c>
      <c r="C49" s="8"/>
      <c r="D49" s="8"/>
      <c r="E49" s="8"/>
      <c r="F49" s="8"/>
      <c r="G49" s="5"/>
    </row>
    <row r="50" spans="1:7" ht="15.75" customHeight="1">
      <c r="A50" s="3">
        <v>21599</v>
      </c>
      <c r="B50" s="4">
        <v>46</v>
      </c>
      <c r="C50" s="8"/>
      <c r="D50" s="8"/>
      <c r="E50" s="8"/>
      <c r="F50" s="8"/>
      <c r="G50" s="5"/>
    </row>
    <row r="51" spans="1:7" ht="15.75" customHeight="1">
      <c r="A51" s="3">
        <v>21600</v>
      </c>
      <c r="B51" s="4">
        <v>39</v>
      </c>
      <c r="C51" s="8"/>
      <c r="D51" s="8"/>
      <c r="E51" s="8"/>
      <c r="F51" s="8"/>
      <c r="G51" s="5"/>
    </row>
    <row r="52" spans="1:7" ht="15.75" customHeight="1">
      <c r="A52" s="3">
        <v>21601</v>
      </c>
      <c r="B52" s="4">
        <v>48</v>
      </c>
      <c r="C52" s="8"/>
      <c r="D52" s="8"/>
      <c r="E52" s="8"/>
      <c r="F52" s="8"/>
      <c r="G52" s="5"/>
    </row>
    <row r="53" spans="1:7" ht="15.75" customHeight="1">
      <c r="A53" s="3">
        <v>21602</v>
      </c>
      <c r="B53" s="4">
        <v>37</v>
      </c>
      <c r="C53" s="8"/>
      <c r="D53" s="8"/>
      <c r="E53" s="8"/>
      <c r="F53" s="8"/>
      <c r="G53" s="5"/>
    </row>
    <row r="54" spans="1:7" ht="15.75" customHeight="1">
      <c r="A54" s="3">
        <v>21603</v>
      </c>
      <c r="B54" s="4">
        <v>35</v>
      </c>
      <c r="C54" s="8"/>
      <c r="D54" s="8"/>
      <c r="E54" s="8"/>
      <c r="F54" s="8"/>
      <c r="G54" s="5"/>
    </row>
    <row r="55" spans="1:7" ht="15.75" customHeight="1">
      <c r="A55" s="3">
        <v>21604</v>
      </c>
      <c r="B55" s="4">
        <v>52</v>
      </c>
      <c r="C55" s="8"/>
      <c r="D55" s="8"/>
      <c r="E55" s="8"/>
      <c r="F55" s="8"/>
      <c r="G55" s="5"/>
    </row>
    <row r="56" spans="1:7" ht="15.75" customHeight="1">
      <c r="A56" s="3">
        <v>21605</v>
      </c>
      <c r="B56" s="4">
        <v>42</v>
      </c>
      <c r="C56" s="8"/>
      <c r="D56" s="8"/>
      <c r="E56" s="8"/>
      <c r="F56" s="8"/>
      <c r="G56" s="5"/>
    </row>
    <row r="57" spans="1:7" ht="15.75" customHeight="1">
      <c r="A57" s="3">
        <v>21606</v>
      </c>
      <c r="B57" s="4">
        <v>45</v>
      </c>
      <c r="C57" s="8"/>
      <c r="D57" s="8"/>
      <c r="E57" s="8"/>
      <c r="F57" s="8"/>
      <c r="G57" s="5"/>
    </row>
    <row r="58" spans="1:7" ht="15.75" customHeight="1">
      <c r="A58" s="3">
        <v>21607</v>
      </c>
      <c r="B58" s="4">
        <v>39</v>
      </c>
      <c r="C58" s="8"/>
      <c r="D58" s="8"/>
      <c r="E58" s="8"/>
      <c r="F58" s="8"/>
      <c r="G58" s="5"/>
    </row>
    <row r="59" spans="1:7" ht="15.75" customHeight="1">
      <c r="A59" s="3">
        <v>21608</v>
      </c>
      <c r="B59" s="4">
        <v>37</v>
      </c>
      <c r="C59" s="8"/>
      <c r="D59" s="8"/>
      <c r="E59" s="8"/>
      <c r="F59" s="8"/>
      <c r="G59" s="5"/>
    </row>
    <row r="60" spans="1:7" ht="15.75" customHeight="1">
      <c r="A60" s="3">
        <v>21609</v>
      </c>
      <c r="B60" s="4">
        <v>30</v>
      </c>
      <c r="C60" s="8"/>
      <c r="D60" s="8"/>
      <c r="E60" s="8"/>
      <c r="F60" s="8"/>
      <c r="G60" s="5"/>
    </row>
    <row r="61" spans="1:7" ht="15.75" customHeight="1">
      <c r="A61" s="3">
        <v>21610</v>
      </c>
      <c r="B61" s="4">
        <v>35</v>
      </c>
      <c r="C61" s="8"/>
      <c r="D61" s="8"/>
      <c r="E61" s="8"/>
      <c r="F61" s="8"/>
      <c r="G61" s="5"/>
    </row>
    <row r="62" spans="1:7" ht="15.75" customHeight="1">
      <c r="A62" s="3">
        <v>21611</v>
      </c>
      <c r="B62" s="4">
        <v>28</v>
      </c>
      <c r="C62" s="8"/>
      <c r="D62" s="8"/>
      <c r="E62" s="8"/>
      <c r="F62" s="8"/>
      <c r="G62" s="5"/>
    </row>
    <row r="63" spans="1:7" ht="15.75" customHeight="1">
      <c r="A63" s="3">
        <v>21612</v>
      </c>
      <c r="B63" s="4">
        <v>45</v>
      </c>
      <c r="C63" s="8"/>
      <c r="D63" s="8"/>
      <c r="E63" s="8"/>
      <c r="F63" s="8"/>
      <c r="G63" s="5"/>
    </row>
    <row r="64" spans="1:7" ht="15.75" customHeight="1">
      <c r="A64" s="3">
        <v>21613</v>
      </c>
      <c r="B64" s="4">
        <v>34</v>
      </c>
      <c r="C64" s="8"/>
      <c r="D64" s="8"/>
      <c r="E64" s="8"/>
      <c r="F64" s="8"/>
      <c r="G64" s="5"/>
    </row>
    <row r="65" spans="1:7" ht="15.75" customHeight="1">
      <c r="A65" s="3">
        <v>21614</v>
      </c>
      <c r="B65" s="4">
        <v>36</v>
      </c>
      <c r="C65" s="8"/>
      <c r="D65" s="8"/>
      <c r="E65" s="8"/>
      <c r="F65" s="8"/>
      <c r="G65" s="5"/>
    </row>
    <row r="66" spans="1:7" ht="15.75" customHeight="1">
      <c r="A66" s="3">
        <v>21615</v>
      </c>
      <c r="B66" s="4">
        <v>50</v>
      </c>
      <c r="C66" s="8"/>
      <c r="D66" s="8"/>
      <c r="E66" s="8"/>
      <c r="F66" s="8"/>
      <c r="G66" s="5"/>
    </row>
    <row r="67" spans="1:7" ht="15.75" customHeight="1">
      <c r="A67" s="3">
        <v>21616</v>
      </c>
      <c r="B67" s="4">
        <v>44</v>
      </c>
      <c r="C67" s="8"/>
      <c r="D67" s="8"/>
      <c r="E67" s="8"/>
      <c r="F67" s="8"/>
      <c r="G67" s="5"/>
    </row>
    <row r="68" spans="1:7" ht="15.75" customHeight="1">
      <c r="A68" s="3">
        <v>21617</v>
      </c>
      <c r="B68" s="4">
        <v>39</v>
      </c>
      <c r="C68" s="8"/>
      <c r="D68" s="8"/>
      <c r="E68" s="8"/>
      <c r="F68" s="8"/>
      <c r="G68" s="5"/>
    </row>
    <row r="69" spans="1:7" ht="15.75" customHeight="1">
      <c r="A69" s="3">
        <v>21618</v>
      </c>
      <c r="B69" s="4">
        <v>32</v>
      </c>
      <c r="C69" s="8"/>
      <c r="D69" s="8"/>
      <c r="E69" s="8"/>
      <c r="F69" s="8"/>
      <c r="G69" s="5"/>
    </row>
    <row r="70" spans="1:7" ht="15.75" customHeight="1">
      <c r="A70" s="3">
        <v>21619</v>
      </c>
      <c r="B70" s="4">
        <v>39</v>
      </c>
      <c r="C70" s="8"/>
      <c r="D70" s="8"/>
      <c r="E70" s="8"/>
      <c r="F70" s="8"/>
      <c r="G70" s="5"/>
    </row>
    <row r="71" spans="1:7" ht="15.75" customHeight="1">
      <c r="A71" s="3">
        <v>21620</v>
      </c>
      <c r="B71" s="4">
        <v>45</v>
      </c>
      <c r="C71" s="8"/>
      <c r="D71" s="8"/>
      <c r="E71" s="8"/>
      <c r="F71" s="8"/>
      <c r="G71" s="5"/>
    </row>
    <row r="72" spans="1:7" ht="15.75" customHeight="1">
      <c r="A72" s="3">
        <v>21621</v>
      </c>
      <c r="B72" s="4">
        <v>43</v>
      </c>
      <c r="C72" s="8"/>
      <c r="D72" s="8"/>
      <c r="E72" s="8"/>
      <c r="F72" s="8"/>
      <c r="G72" s="5"/>
    </row>
    <row r="73" spans="1:7" ht="15.75" customHeight="1">
      <c r="A73" s="3">
        <v>21622</v>
      </c>
      <c r="B73" s="4">
        <v>39</v>
      </c>
      <c r="C73" s="8"/>
      <c r="D73" s="8"/>
      <c r="E73" s="8"/>
      <c r="F73" s="8"/>
      <c r="G73" s="5"/>
    </row>
    <row r="74" spans="1:7" ht="15.75" customHeight="1">
      <c r="A74" s="3">
        <v>21623</v>
      </c>
      <c r="B74" s="4">
        <v>31</v>
      </c>
      <c r="C74" s="8"/>
      <c r="D74" s="8"/>
      <c r="E74" s="8"/>
      <c r="F74" s="8"/>
      <c r="G74" s="5"/>
    </row>
    <row r="75" spans="1:7" ht="15.75" customHeight="1">
      <c r="A75" s="3">
        <v>21624</v>
      </c>
      <c r="B75" s="4">
        <v>27</v>
      </c>
      <c r="C75" s="8"/>
      <c r="D75" s="8"/>
      <c r="E75" s="8"/>
      <c r="F75" s="8"/>
      <c r="G75" s="5"/>
    </row>
    <row r="76" spans="1:7" ht="15.75" customHeight="1">
      <c r="A76" s="3">
        <v>21625</v>
      </c>
      <c r="B76" s="4">
        <v>30</v>
      </c>
      <c r="C76" s="8"/>
      <c r="D76" s="8"/>
      <c r="E76" s="8"/>
      <c r="F76" s="8"/>
      <c r="G76" s="5"/>
    </row>
    <row r="77" spans="1:7" ht="15.75" customHeight="1">
      <c r="A77" s="3">
        <v>21626</v>
      </c>
      <c r="B77" s="4">
        <v>42</v>
      </c>
      <c r="C77" s="8"/>
      <c r="D77" s="8"/>
      <c r="E77" s="8"/>
      <c r="F77" s="8"/>
      <c r="G77" s="5"/>
    </row>
    <row r="78" spans="1:7" ht="15.75" customHeight="1">
      <c r="A78" s="3">
        <v>21627</v>
      </c>
      <c r="B78" s="4">
        <v>46</v>
      </c>
      <c r="C78" s="8"/>
      <c r="D78" s="8"/>
      <c r="E78" s="8"/>
      <c r="F78" s="8"/>
      <c r="G78" s="5"/>
    </row>
    <row r="79" spans="1:7" ht="15.75" customHeight="1">
      <c r="A79" s="3">
        <v>21628</v>
      </c>
      <c r="B79" s="4">
        <v>41</v>
      </c>
      <c r="C79" s="8"/>
      <c r="D79" s="8"/>
      <c r="E79" s="8"/>
      <c r="F79" s="8"/>
      <c r="G79" s="5"/>
    </row>
    <row r="80" spans="1:7" ht="15.75" customHeight="1">
      <c r="A80" s="3">
        <v>21629</v>
      </c>
      <c r="B80" s="4">
        <v>36</v>
      </c>
      <c r="C80" s="8"/>
      <c r="D80" s="8"/>
      <c r="E80" s="8"/>
      <c r="F80" s="8"/>
      <c r="G80" s="5"/>
    </row>
    <row r="81" spans="1:7" ht="15.75" customHeight="1">
      <c r="A81" s="3">
        <v>21630</v>
      </c>
      <c r="B81" s="4">
        <v>45</v>
      </c>
      <c r="C81" s="8"/>
      <c r="D81" s="8"/>
      <c r="E81" s="8"/>
      <c r="F81" s="8"/>
      <c r="G81" s="5"/>
    </row>
    <row r="82" spans="1:7" ht="15.75" customHeight="1">
      <c r="A82" s="3">
        <v>21631</v>
      </c>
      <c r="B82" s="4">
        <v>46</v>
      </c>
      <c r="C82" s="8"/>
      <c r="D82" s="8"/>
      <c r="E82" s="8"/>
      <c r="F82" s="8"/>
      <c r="G82" s="5"/>
    </row>
    <row r="83" spans="1:7" ht="15.75" customHeight="1">
      <c r="A83" s="3">
        <v>21632</v>
      </c>
      <c r="B83" s="4">
        <v>43</v>
      </c>
      <c r="C83" s="8"/>
      <c r="D83" s="8"/>
      <c r="E83" s="8"/>
      <c r="F83" s="8"/>
      <c r="G83" s="5"/>
    </row>
    <row r="84" spans="1:7" ht="15.75" customHeight="1">
      <c r="A84" s="3">
        <v>21633</v>
      </c>
      <c r="B84" s="4">
        <v>38</v>
      </c>
      <c r="C84" s="8"/>
      <c r="D84" s="8"/>
      <c r="E84" s="8"/>
      <c r="F84" s="8"/>
      <c r="G84" s="5"/>
    </row>
    <row r="85" spans="1:7" ht="15.75" customHeight="1">
      <c r="A85" s="3">
        <v>21634</v>
      </c>
      <c r="B85" s="4">
        <v>34</v>
      </c>
      <c r="C85" s="8"/>
      <c r="D85" s="8"/>
      <c r="E85" s="8"/>
      <c r="F85" s="8"/>
      <c r="G85" s="5"/>
    </row>
    <row r="86" spans="1:7" ht="15.75" customHeight="1">
      <c r="A86" s="3">
        <v>21635</v>
      </c>
      <c r="B86" s="4">
        <v>35</v>
      </c>
      <c r="C86" s="8"/>
      <c r="D86" s="8"/>
      <c r="E86" s="8"/>
      <c r="F86" s="8"/>
      <c r="G86" s="5"/>
    </row>
    <row r="87" spans="1:7" ht="15.75" customHeight="1">
      <c r="A87" s="3">
        <v>21636</v>
      </c>
      <c r="B87" s="4">
        <v>56</v>
      </c>
      <c r="C87" s="8"/>
      <c r="D87" s="8"/>
      <c r="E87" s="8"/>
      <c r="F87" s="8"/>
      <c r="G87" s="5"/>
    </row>
    <row r="88" spans="1:7" ht="15.75" customHeight="1">
      <c r="A88" s="3">
        <v>21637</v>
      </c>
      <c r="B88" s="4">
        <v>36</v>
      </c>
      <c r="C88" s="8"/>
      <c r="D88" s="8"/>
      <c r="E88" s="8"/>
      <c r="F88" s="8"/>
      <c r="G88" s="5"/>
    </row>
    <row r="89" spans="1:7" ht="15.75" customHeight="1">
      <c r="A89" s="3">
        <v>21638</v>
      </c>
      <c r="B89" s="4">
        <v>32</v>
      </c>
      <c r="C89" s="8"/>
      <c r="D89" s="8"/>
      <c r="E89" s="8"/>
      <c r="F89" s="8"/>
      <c r="G89" s="5"/>
    </row>
    <row r="90" spans="1:7" ht="15.75" customHeight="1">
      <c r="A90" s="3">
        <v>21639</v>
      </c>
      <c r="B90" s="4">
        <v>50</v>
      </c>
      <c r="C90" s="8"/>
      <c r="D90" s="8"/>
      <c r="E90" s="8"/>
      <c r="F90" s="8"/>
      <c r="G90" s="5"/>
    </row>
    <row r="91" spans="1:7" ht="15.75" customHeight="1">
      <c r="A91" s="3">
        <v>21640</v>
      </c>
      <c r="B91" s="4">
        <v>41</v>
      </c>
      <c r="C91" s="8"/>
      <c r="D91" s="8"/>
      <c r="E91" s="8"/>
      <c r="F91" s="8"/>
      <c r="G91" s="5"/>
    </row>
    <row r="92" spans="1:7" ht="15.75" customHeight="1">
      <c r="A92" s="3">
        <v>21641</v>
      </c>
      <c r="B92" s="4">
        <v>39</v>
      </c>
      <c r="C92" s="8"/>
      <c r="D92" s="8"/>
      <c r="E92" s="8"/>
      <c r="F92" s="8"/>
      <c r="G92" s="5"/>
    </row>
    <row r="93" spans="1:7" ht="15.75" customHeight="1">
      <c r="A93" s="3">
        <v>21642</v>
      </c>
      <c r="B93" s="4">
        <v>41</v>
      </c>
      <c r="C93" s="8"/>
      <c r="D93" s="8"/>
      <c r="E93" s="8"/>
      <c r="F93" s="8"/>
      <c r="G93" s="5"/>
    </row>
    <row r="94" spans="1:7" ht="15.75" customHeight="1">
      <c r="A94" s="3">
        <v>21643</v>
      </c>
      <c r="B94" s="4">
        <v>47</v>
      </c>
      <c r="C94" s="8"/>
      <c r="D94" s="8"/>
      <c r="E94" s="8"/>
      <c r="F94" s="8"/>
      <c r="G94" s="5"/>
    </row>
    <row r="95" spans="1:7" ht="15.75" customHeight="1">
      <c r="A95" s="3">
        <v>21644</v>
      </c>
      <c r="B95" s="4">
        <v>34</v>
      </c>
      <c r="C95" s="8"/>
      <c r="D95" s="8"/>
      <c r="E95" s="8"/>
      <c r="F95" s="8"/>
      <c r="G95" s="5"/>
    </row>
    <row r="96" spans="1:7" ht="15.75" customHeight="1">
      <c r="A96" s="3">
        <v>21645</v>
      </c>
      <c r="B96" s="4">
        <v>36</v>
      </c>
      <c r="C96" s="8"/>
      <c r="D96" s="8"/>
      <c r="E96" s="8"/>
      <c r="F96" s="8"/>
      <c r="G96" s="5"/>
    </row>
    <row r="97" spans="1:7" ht="15.75" customHeight="1">
      <c r="A97" s="3">
        <v>21646</v>
      </c>
      <c r="B97" s="4">
        <v>33</v>
      </c>
      <c r="C97" s="8"/>
      <c r="D97" s="8"/>
      <c r="E97" s="8"/>
      <c r="F97" s="8"/>
      <c r="G97" s="5"/>
    </row>
    <row r="98" spans="1:7" ht="15.75" customHeight="1">
      <c r="A98" s="3">
        <v>21647</v>
      </c>
      <c r="B98" s="4">
        <v>35</v>
      </c>
      <c r="C98" s="8"/>
      <c r="D98" s="8"/>
      <c r="E98" s="8"/>
      <c r="F98" s="8"/>
      <c r="G98" s="5"/>
    </row>
    <row r="99" spans="1:7" ht="15.75" customHeight="1">
      <c r="A99" s="3">
        <v>21648</v>
      </c>
      <c r="B99" s="4">
        <v>38</v>
      </c>
      <c r="C99" s="8"/>
      <c r="D99" s="8"/>
      <c r="E99" s="8"/>
      <c r="F99" s="8"/>
      <c r="G99" s="5"/>
    </row>
    <row r="100" spans="1:7" ht="15.75" customHeight="1">
      <c r="A100" s="3">
        <v>21649</v>
      </c>
      <c r="B100" s="4">
        <v>38</v>
      </c>
      <c r="C100" s="8"/>
      <c r="D100" s="8"/>
      <c r="E100" s="8"/>
      <c r="F100" s="8"/>
      <c r="G100" s="5"/>
    </row>
    <row r="101" spans="1:7" ht="15.75" customHeight="1">
      <c r="A101" s="3">
        <v>21650</v>
      </c>
      <c r="B101" s="4">
        <v>34</v>
      </c>
      <c r="C101" s="8"/>
      <c r="D101" s="8"/>
      <c r="E101" s="8"/>
      <c r="F101" s="8"/>
      <c r="G101" s="5"/>
    </row>
    <row r="102" spans="1:7" ht="15.75" customHeight="1">
      <c r="A102" s="3">
        <v>21651</v>
      </c>
      <c r="B102" s="4">
        <v>53</v>
      </c>
      <c r="C102" s="8"/>
      <c r="D102" s="8"/>
      <c r="E102" s="8"/>
      <c r="F102" s="8"/>
      <c r="G102" s="5"/>
    </row>
    <row r="103" spans="1:7" ht="15.75" customHeight="1">
      <c r="A103" s="3">
        <v>21652</v>
      </c>
      <c r="B103" s="4">
        <v>34</v>
      </c>
      <c r="C103" s="8"/>
      <c r="D103" s="8"/>
      <c r="E103" s="8"/>
      <c r="F103" s="8"/>
      <c r="G103" s="5"/>
    </row>
    <row r="104" spans="1:7" ht="15.75" customHeight="1">
      <c r="A104" s="3">
        <v>21653</v>
      </c>
      <c r="B104" s="4">
        <v>34</v>
      </c>
      <c r="C104" s="8"/>
      <c r="D104" s="8"/>
      <c r="E104" s="8"/>
      <c r="F104" s="8"/>
      <c r="G104" s="5"/>
    </row>
    <row r="105" spans="1:7" ht="15.75" customHeight="1">
      <c r="A105" s="3">
        <v>21654</v>
      </c>
      <c r="B105" s="4">
        <v>38</v>
      </c>
      <c r="C105" s="8"/>
      <c r="D105" s="8"/>
      <c r="E105" s="8"/>
      <c r="F105" s="8"/>
      <c r="G105" s="5"/>
    </row>
    <row r="106" spans="1:7" ht="15.75" customHeight="1">
      <c r="A106" s="3">
        <v>21655</v>
      </c>
      <c r="B106" s="4">
        <v>35</v>
      </c>
      <c r="C106" s="8"/>
      <c r="D106" s="8"/>
      <c r="E106" s="8"/>
      <c r="F106" s="8"/>
      <c r="G106" s="5"/>
    </row>
    <row r="107" spans="1:7" ht="15.75" customHeight="1">
      <c r="A107" s="3">
        <v>21656</v>
      </c>
      <c r="B107" s="4">
        <v>32</v>
      </c>
      <c r="C107" s="8"/>
      <c r="D107" s="8"/>
      <c r="E107" s="8"/>
      <c r="F107" s="8"/>
      <c r="G107" s="5"/>
    </row>
    <row r="108" spans="1:7" ht="15.75" customHeight="1">
      <c r="A108" s="3">
        <v>21657</v>
      </c>
      <c r="B108" s="4">
        <v>42</v>
      </c>
      <c r="C108" s="8"/>
      <c r="D108" s="8"/>
      <c r="E108" s="8"/>
      <c r="F108" s="8"/>
      <c r="G108" s="5"/>
    </row>
    <row r="109" spans="1:7" ht="15.75" customHeight="1">
      <c r="A109" s="3">
        <v>21658</v>
      </c>
      <c r="B109" s="4">
        <v>34</v>
      </c>
      <c r="C109" s="8"/>
      <c r="D109" s="8"/>
      <c r="E109" s="8"/>
      <c r="F109" s="8"/>
      <c r="G109" s="5"/>
    </row>
    <row r="110" spans="1:7" ht="15.75" customHeight="1">
      <c r="A110" s="3">
        <v>21659</v>
      </c>
      <c r="B110" s="4">
        <v>46</v>
      </c>
      <c r="C110" s="8"/>
      <c r="D110" s="8"/>
      <c r="E110" s="8"/>
      <c r="F110" s="8"/>
      <c r="G110" s="5"/>
    </row>
    <row r="111" spans="1:7" ht="15.75" customHeight="1">
      <c r="A111" s="3">
        <v>21660</v>
      </c>
      <c r="B111" s="4">
        <v>30</v>
      </c>
      <c r="C111" s="8"/>
      <c r="D111" s="8"/>
      <c r="E111" s="8"/>
      <c r="F111" s="8"/>
      <c r="G111" s="5"/>
    </row>
    <row r="112" spans="1:7" ht="15.75" customHeight="1">
      <c r="A112" s="3">
        <v>21661</v>
      </c>
      <c r="B112" s="4">
        <v>46</v>
      </c>
      <c r="C112" s="8"/>
      <c r="D112" s="8"/>
      <c r="E112" s="8"/>
      <c r="F112" s="8"/>
      <c r="G112" s="5"/>
    </row>
    <row r="113" spans="1:7" ht="15.75" customHeight="1">
      <c r="A113" s="3">
        <v>21662</v>
      </c>
      <c r="B113" s="4">
        <v>45</v>
      </c>
      <c r="C113" s="8"/>
      <c r="D113" s="8"/>
      <c r="E113" s="8"/>
      <c r="F113" s="8"/>
      <c r="G113" s="5"/>
    </row>
    <row r="114" spans="1:7" ht="15.75" customHeight="1">
      <c r="A114" s="3">
        <v>21663</v>
      </c>
      <c r="B114" s="4">
        <v>54</v>
      </c>
      <c r="C114" s="8"/>
      <c r="D114" s="8"/>
      <c r="E114" s="8"/>
      <c r="F114" s="8"/>
      <c r="G114" s="5"/>
    </row>
    <row r="115" spans="1:7" ht="15.75" customHeight="1">
      <c r="A115" s="3">
        <v>21664</v>
      </c>
      <c r="B115" s="4">
        <v>34</v>
      </c>
      <c r="C115" s="8"/>
      <c r="D115" s="8"/>
      <c r="E115" s="8"/>
      <c r="F115" s="8"/>
      <c r="G115" s="5"/>
    </row>
    <row r="116" spans="1:7" ht="15.75" customHeight="1">
      <c r="A116" s="3">
        <v>21665</v>
      </c>
      <c r="B116" s="4">
        <v>37</v>
      </c>
      <c r="C116" s="8"/>
      <c r="D116" s="8"/>
      <c r="E116" s="8"/>
      <c r="F116" s="8"/>
      <c r="G116" s="5"/>
    </row>
    <row r="117" spans="1:7" ht="15.75" customHeight="1">
      <c r="A117" s="3">
        <v>21666</v>
      </c>
      <c r="B117" s="4">
        <v>35</v>
      </c>
      <c r="C117" s="8"/>
      <c r="D117" s="8"/>
      <c r="E117" s="8"/>
      <c r="F117" s="8"/>
      <c r="G117" s="5"/>
    </row>
    <row r="118" spans="1:7" ht="15.75" customHeight="1">
      <c r="A118" s="3">
        <v>21667</v>
      </c>
      <c r="B118" s="4">
        <v>40</v>
      </c>
      <c r="C118" s="8"/>
      <c r="D118" s="8"/>
      <c r="E118" s="8"/>
      <c r="F118" s="8"/>
      <c r="G118" s="5"/>
    </row>
    <row r="119" spans="1:7" ht="15.75" customHeight="1">
      <c r="A119" s="3">
        <v>21668</v>
      </c>
      <c r="B119" s="4">
        <v>42</v>
      </c>
      <c r="C119" s="8"/>
      <c r="D119" s="8"/>
      <c r="E119" s="8"/>
      <c r="F119" s="8"/>
      <c r="G119" s="5"/>
    </row>
    <row r="120" spans="1:7" ht="15.75" customHeight="1">
      <c r="A120" s="3">
        <v>21669</v>
      </c>
      <c r="B120" s="4">
        <v>58</v>
      </c>
      <c r="C120" s="8"/>
      <c r="D120" s="8"/>
      <c r="E120" s="8"/>
      <c r="F120" s="8"/>
      <c r="G120" s="5"/>
    </row>
    <row r="121" spans="1:7" ht="15.75" customHeight="1">
      <c r="A121" s="3">
        <v>21670</v>
      </c>
      <c r="B121" s="4">
        <v>51</v>
      </c>
      <c r="C121" s="8"/>
      <c r="D121" s="8"/>
      <c r="E121" s="8"/>
      <c r="F121" s="8"/>
      <c r="G121" s="5"/>
    </row>
    <row r="122" spans="1:7" ht="15.75" customHeight="1">
      <c r="A122" s="3">
        <v>21671</v>
      </c>
      <c r="B122" s="4">
        <v>32</v>
      </c>
      <c r="C122" s="8"/>
      <c r="D122" s="8"/>
      <c r="E122" s="8"/>
      <c r="F122" s="8"/>
      <c r="G122" s="5"/>
    </row>
    <row r="123" spans="1:7" ht="15.75" customHeight="1">
      <c r="A123" s="3">
        <v>21672</v>
      </c>
      <c r="B123" s="4">
        <v>35</v>
      </c>
      <c r="C123" s="8"/>
      <c r="D123" s="8"/>
      <c r="E123" s="8"/>
      <c r="F123" s="8"/>
      <c r="G123" s="5"/>
    </row>
    <row r="124" spans="1:7" ht="15.75" customHeight="1">
      <c r="A124" s="3">
        <v>21673</v>
      </c>
      <c r="B124" s="4">
        <v>38</v>
      </c>
      <c r="C124" s="8"/>
      <c r="D124" s="8"/>
      <c r="E124" s="8"/>
      <c r="F124" s="8"/>
      <c r="G124" s="5"/>
    </row>
    <row r="125" spans="1:7" ht="15.75" customHeight="1">
      <c r="A125" s="3">
        <v>21674</v>
      </c>
      <c r="B125" s="4">
        <v>33</v>
      </c>
      <c r="C125" s="8"/>
      <c r="D125" s="8"/>
      <c r="E125" s="8"/>
      <c r="F125" s="8"/>
      <c r="G125" s="5"/>
    </row>
    <row r="126" spans="1:7" ht="15.75" customHeight="1">
      <c r="A126" s="3">
        <v>21675</v>
      </c>
      <c r="B126" s="4">
        <v>39</v>
      </c>
      <c r="C126" s="8"/>
      <c r="D126" s="8"/>
      <c r="E126" s="8"/>
      <c r="F126" s="8"/>
      <c r="G126" s="5"/>
    </row>
    <row r="127" spans="1:7" ht="15.75" customHeight="1">
      <c r="A127" s="3">
        <v>21676</v>
      </c>
      <c r="B127" s="4">
        <v>47</v>
      </c>
      <c r="C127" s="8"/>
      <c r="D127" s="8"/>
      <c r="E127" s="8"/>
      <c r="F127" s="8"/>
      <c r="G127" s="5"/>
    </row>
    <row r="128" spans="1:7" ht="15.75" customHeight="1">
      <c r="A128" s="3">
        <v>21677</v>
      </c>
      <c r="B128" s="4">
        <v>38</v>
      </c>
      <c r="C128" s="8"/>
      <c r="D128" s="8"/>
      <c r="E128" s="8"/>
      <c r="F128" s="8"/>
      <c r="G128" s="5"/>
    </row>
    <row r="129" spans="1:7" ht="15.75" customHeight="1">
      <c r="A129" s="3">
        <v>21678</v>
      </c>
      <c r="B129" s="4">
        <v>52</v>
      </c>
      <c r="C129" s="8"/>
      <c r="D129" s="8"/>
      <c r="E129" s="8"/>
      <c r="F129" s="8"/>
      <c r="G129" s="5"/>
    </row>
    <row r="130" spans="1:7" ht="15.75" customHeight="1">
      <c r="A130" s="3">
        <v>21679</v>
      </c>
      <c r="B130" s="4">
        <v>30</v>
      </c>
      <c r="C130" s="8"/>
      <c r="D130" s="8"/>
      <c r="E130" s="8"/>
      <c r="F130" s="8"/>
      <c r="G130" s="5"/>
    </row>
    <row r="131" spans="1:7" ht="15.75" customHeight="1">
      <c r="A131" s="3">
        <v>21680</v>
      </c>
      <c r="B131" s="4">
        <v>34</v>
      </c>
      <c r="C131" s="8"/>
      <c r="D131" s="8"/>
      <c r="E131" s="8"/>
      <c r="F131" s="8"/>
      <c r="G131" s="5"/>
    </row>
    <row r="132" spans="1:7" ht="15.75" customHeight="1">
      <c r="A132" s="3">
        <v>21681</v>
      </c>
      <c r="B132" s="4">
        <v>40</v>
      </c>
      <c r="C132" s="8"/>
      <c r="D132" s="8"/>
      <c r="E132" s="8"/>
      <c r="F132" s="8"/>
      <c r="G132" s="5"/>
    </row>
    <row r="133" spans="1:7" ht="15.75" customHeight="1">
      <c r="A133" s="3">
        <v>21682</v>
      </c>
      <c r="B133" s="4">
        <v>35</v>
      </c>
      <c r="C133" s="8"/>
      <c r="D133" s="8"/>
      <c r="E133" s="8"/>
      <c r="F133" s="8"/>
      <c r="G133" s="5"/>
    </row>
    <row r="134" spans="1:7" ht="15.75" customHeight="1">
      <c r="A134" s="3">
        <v>21683</v>
      </c>
      <c r="B134" s="4">
        <v>42</v>
      </c>
      <c r="C134" s="8"/>
      <c r="D134" s="8"/>
      <c r="E134" s="8"/>
      <c r="F134" s="8"/>
      <c r="G134" s="5"/>
    </row>
    <row r="135" spans="1:7" ht="15.75" customHeight="1">
      <c r="A135" s="3">
        <v>21684</v>
      </c>
      <c r="B135" s="4">
        <v>41</v>
      </c>
      <c r="C135" s="8"/>
      <c r="D135" s="8"/>
      <c r="E135" s="8"/>
      <c r="F135" s="8"/>
      <c r="G135" s="5"/>
    </row>
    <row r="136" spans="1:7" ht="15.75" customHeight="1">
      <c r="A136" s="3">
        <v>21685</v>
      </c>
      <c r="B136" s="4">
        <v>42</v>
      </c>
      <c r="C136" s="8"/>
      <c r="D136" s="8"/>
      <c r="E136" s="8"/>
      <c r="F136" s="8"/>
      <c r="G136" s="5"/>
    </row>
    <row r="137" spans="1:7" ht="15.75" customHeight="1">
      <c r="A137" s="3">
        <v>21686</v>
      </c>
      <c r="B137" s="4">
        <v>38</v>
      </c>
      <c r="C137" s="8"/>
      <c r="D137" s="8"/>
      <c r="E137" s="8"/>
      <c r="F137" s="8"/>
      <c r="G137" s="5"/>
    </row>
    <row r="138" spans="1:7" ht="15.75" customHeight="1">
      <c r="A138" s="3">
        <v>21687</v>
      </c>
      <c r="B138" s="4">
        <v>24</v>
      </c>
      <c r="C138" s="8"/>
      <c r="D138" s="8"/>
      <c r="E138" s="8"/>
      <c r="F138" s="8"/>
      <c r="G138" s="5"/>
    </row>
    <row r="139" spans="1:7" ht="15.75" customHeight="1">
      <c r="A139" s="3">
        <v>21688</v>
      </c>
      <c r="B139" s="4">
        <v>34</v>
      </c>
      <c r="C139" s="8"/>
      <c r="D139" s="8"/>
      <c r="E139" s="8"/>
      <c r="F139" s="8"/>
      <c r="G139" s="5"/>
    </row>
    <row r="140" spans="1:7" ht="15.75" customHeight="1">
      <c r="A140" s="3">
        <v>21689</v>
      </c>
      <c r="B140" s="4">
        <v>43</v>
      </c>
      <c r="C140" s="8"/>
      <c r="D140" s="8"/>
      <c r="E140" s="8"/>
      <c r="F140" s="8"/>
      <c r="G140" s="5"/>
    </row>
    <row r="141" spans="1:7" ht="15.75" customHeight="1">
      <c r="A141" s="3">
        <v>21690</v>
      </c>
      <c r="B141" s="4">
        <v>36</v>
      </c>
      <c r="C141" s="8"/>
      <c r="D141" s="8"/>
      <c r="E141" s="8"/>
      <c r="F141" s="8"/>
      <c r="G141" s="5"/>
    </row>
    <row r="142" spans="1:7" ht="15.75" customHeight="1">
      <c r="A142" s="3">
        <v>21691</v>
      </c>
      <c r="B142" s="4">
        <v>55</v>
      </c>
      <c r="C142" s="8"/>
      <c r="D142" s="8"/>
      <c r="E142" s="8"/>
      <c r="F142" s="8"/>
      <c r="G142" s="5"/>
    </row>
    <row r="143" spans="1:7" ht="15.75" customHeight="1">
      <c r="A143" s="3">
        <v>21692</v>
      </c>
      <c r="B143" s="4">
        <v>41</v>
      </c>
      <c r="C143" s="8"/>
      <c r="D143" s="8"/>
      <c r="E143" s="8"/>
      <c r="F143" s="8"/>
      <c r="G143" s="5"/>
    </row>
    <row r="144" spans="1:7" ht="15.75" customHeight="1">
      <c r="A144" s="3">
        <v>21693</v>
      </c>
      <c r="B144" s="4">
        <v>45</v>
      </c>
      <c r="C144" s="8"/>
      <c r="D144" s="8"/>
      <c r="E144" s="8"/>
      <c r="F144" s="8"/>
      <c r="G144" s="5"/>
    </row>
    <row r="145" spans="1:7" ht="15.75" customHeight="1">
      <c r="A145" s="3">
        <v>21694</v>
      </c>
      <c r="B145" s="4">
        <v>41</v>
      </c>
      <c r="C145" s="8"/>
      <c r="D145" s="8"/>
      <c r="E145" s="8"/>
      <c r="F145" s="8"/>
      <c r="G145" s="5"/>
    </row>
    <row r="146" spans="1:7" ht="15.75" customHeight="1">
      <c r="A146" s="3">
        <v>21695</v>
      </c>
      <c r="B146" s="4">
        <v>37</v>
      </c>
      <c r="C146" s="8"/>
      <c r="D146" s="8"/>
      <c r="E146" s="8"/>
      <c r="F146" s="8"/>
      <c r="G146" s="5"/>
    </row>
    <row r="147" spans="1:7" ht="15.75" customHeight="1">
      <c r="A147" s="3">
        <v>21696</v>
      </c>
      <c r="B147" s="4">
        <v>43</v>
      </c>
      <c r="C147" s="8"/>
      <c r="D147" s="8"/>
      <c r="E147" s="8"/>
      <c r="F147" s="8"/>
      <c r="G147" s="5"/>
    </row>
    <row r="148" spans="1:7" ht="15.75" customHeight="1">
      <c r="A148" s="3">
        <v>21697</v>
      </c>
      <c r="B148" s="4">
        <v>39</v>
      </c>
      <c r="C148" s="8"/>
      <c r="D148" s="8"/>
      <c r="E148" s="8"/>
      <c r="F148" s="8"/>
      <c r="G148" s="5"/>
    </row>
    <row r="149" spans="1:7" ht="15.75" customHeight="1">
      <c r="A149" s="3">
        <v>21698</v>
      </c>
      <c r="B149" s="4">
        <v>33</v>
      </c>
      <c r="C149" s="8"/>
      <c r="D149" s="8"/>
      <c r="E149" s="8"/>
      <c r="F149" s="8"/>
      <c r="G149" s="5"/>
    </row>
    <row r="150" spans="1:7" ht="15.75" customHeight="1">
      <c r="A150" s="3">
        <v>21699</v>
      </c>
      <c r="B150" s="4">
        <v>43</v>
      </c>
      <c r="C150" s="8"/>
      <c r="D150" s="8"/>
      <c r="E150" s="8"/>
      <c r="F150" s="8"/>
      <c r="G150" s="5"/>
    </row>
    <row r="151" spans="1:7" ht="15.75" customHeight="1">
      <c r="A151" s="3">
        <v>21700</v>
      </c>
      <c r="B151" s="4">
        <v>40</v>
      </c>
      <c r="C151" s="8"/>
      <c r="D151" s="8"/>
      <c r="E151" s="8"/>
      <c r="F151" s="8"/>
      <c r="G151" s="5"/>
    </row>
    <row r="152" spans="1:7" ht="15.75" customHeight="1">
      <c r="A152" s="3">
        <v>21701</v>
      </c>
      <c r="B152" s="4">
        <v>38</v>
      </c>
      <c r="C152" s="8"/>
      <c r="D152" s="8"/>
      <c r="E152" s="8"/>
      <c r="F152" s="8"/>
      <c r="G152" s="5"/>
    </row>
    <row r="153" spans="1:7" ht="15.75" customHeight="1">
      <c r="A153" s="3">
        <v>21702</v>
      </c>
      <c r="B153" s="4">
        <v>45</v>
      </c>
      <c r="C153" s="8"/>
      <c r="D153" s="8"/>
      <c r="E153" s="8"/>
      <c r="F153" s="8"/>
      <c r="G153" s="5"/>
    </row>
    <row r="154" spans="1:7" ht="15.75" customHeight="1">
      <c r="A154" s="3">
        <v>21703</v>
      </c>
      <c r="B154" s="4">
        <v>46</v>
      </c>
      <c r="C154" s="8"/>
      <c r="D154" s="8"/>
      <c r="E154" s="8"/>
      <c r="F154" s="8"/>
      <c r="G154" s="5"/>
    </row>
    <row r="155" spans="1:7" ht="15.75" customHeight="1">
      <c r="A155" s="3">
        <v>21704</v>
      </c>
      <c r="B155" s="4">
        <v>34</v>
      </c>
      <c r="C155" s="8"/>
      <c r="D155" s="8"/>
      <c r="E155" s="8"/>
      <c r="F155" s="8"/>
      <c r="G155" s="5"/>
    </row>
    <row r="156" spans="1:7" ht="15.75" customHeight="1">
      <c r="A156" s="3">
        <v>21705</v>
      </c>
      <c r="B156" s="4">
        <v>35</v>
      </c>
      <c r="C156" s="8"/>
      <c r="D156" s="8"/>
      <c r="E156" s="8"/>
      <c r="F156" s="8"/>
      <c r="G156" s="5"/>
    </row>
    <row r="157" spans="1:7" ht="15.75" customHeight="1">
      <c r="A157" s="3">
        <v>21706</v>
      </c>
      <c r="B157" s="4">
        <v>48</v>
      </c>
      <c r="C157" s="8"/>
      <c r="D157" s="8"/>
      <c r="E157" s="8"/>
      <c r="F157" s="8"/>
      <c r="G157" s="5"/>
    </row>
    <row r="158" spans="1:7" ht="15.75" customHeight="1">
      <c r="A158" s="3">
        <v>21707</v>
      </c>
      <c r="B158" s="4">
        <v>51</v>
      </c>
      <c r="C158" s="8"/>
      <c r="D158" s="8"/>
      <c r="E158" s="8"/>
      <c r="F158" s="8"/>
      <c r="G158" s="5"/>
    </row>
    <row r="159" spans="1:7" ht="15.75" customHeight="1">
      <c r="A159" s="3">
        <v>21708</v>
      </c>
      <c r="B159" s="4">
        <v>36</v>
      </c>
      <c r="C159" s="8"/>
      <c r="D159" s="8"/>
      <c r="E159" s="8"/>
      <c r="F159" s="8"/>
      <c r="G159" s="5"/>
    </row>
    <row r="160" spans="1:7" ht="15.75" customHeight="1">
      <c r="A160" s="3">
        <v>21709</v>
      </c>
      <c r="B160" s="4">
        <v>33</v>
      </c>
      <c r="C160" s="8"/>
      <c r="D160" s="8"/>
      <c r="E160" s="8"/>
      <c r="F160" s="8"/>
      <c r="G160" s="5"/>
    </row>
    <row r="161" spans="1:7" ht="15.75" customHeight="1">
      <c r="A161" s="3">
        <v>21710</v>
      </c>
      <c r="B161" s="4">
        <v>46</v>
      </c>
      <c r="C161" s="8"/>
      <c r="D161" s="8"/>
      <c r="E161" s="8"/>
      <c r="F161" s="8"/>
      <c r="G161" s="5"/>
    </row>
    <row r="162" spans="1:7" ht="15.75" customHeight="1">
      <c r="A162" s="3">
        <v>21711</v>
      </c>
      <c r="B162" s="4">
        <v>42</v>
      </c>
      <c r="C162" s="8"/>
      <c r="D162" s="8"/>
      <c r="E162" s="8"/>
      <c r="F162" s="8"/>
      <c r="G162" s="5"/>
    </row>
    <row r="163" spans="1:7" ht="15.75" customHeight="1">
      <c r="A163" s="3">
        <v>21712</v>
      </c>
      <c r="B163" s="4">
        <v>48</v>
      </c>
      <c r="C163" s="8"/>
      <c r="D163" s="8"/>
      <c r="E163" s="8"/>
      <c r="F163" s="8"/>
      <c r="G163" s="5"/>
    </row>
    <row r="164" spans="1:7" ht="15.75" customHeight="1">
      <c r="A164" s="3">
        <v>21713</v>
      </c>
      <c r="B164" s="4">
        <v>34</v>
      </c>
      <c r="C164" s="8"/>
      <c r="D164" s="8"/>
      <c r="E164" s="8"/>
      <c r="F164" s="8"/>
      <c r="G164" s="5"/>
    </row>
    <row r="165" spans="1:7" ht="15.75" customHeight="1">
      <c r="A165" s="3">
        <v>21714</v>
      </c>
      <c r="B165" s="4">
        <v>41</v>
      </c>
      <c r="C165" s="8"/>
      <c r="D165" s="8"/>
      <c r="E165" s="8"/>
      <c r="F165" s="8"/>
      <c r="G165" s="5"/>
    </row>
    <row r="166" spans="1:7" ht="15.75" customHeight="1">
      <c r="A166" s="3">
        <v>21715</v>
      </c>
      <c r="B166" s="4">
        <v>35</v>
      </c>
      <c r="C166" s="8"/>
      <c r="D166" s="8"/>
      <c r="E166" s="8"/>
      <c r="F166" s="8"/>
      <c r="G166" s="5"/>
    </row>
    <row r="167" spans="1:7" ht="15.75" customHeight="1">
      <c r="A167" s="3">
        <v>21716</v>
      </c>
      <c r="B167" s="4">
        <v>40</v>
      </c>
      <c r="C167" s="8"/>
      <c r="D167" s="8"/>
      <c r="E167" s="8"/>
      <c r="F167" s="8"/>
      <c r="G167" s="5"/>
    </row>
    <row r="168" spans="1:7" ht="15.75" customHeight="1">
      <c r="A168" s="3">
        <v>21717</v>
      </c>
      <c r="B168" s="4">
        <v>34</v>
      </c>
      <c r="C168" s="8"/>
      <c r="D168" s="8"/>
      <c r="E168" s="8"/>
      <c r="F168" s="8"/>
      <c r="G168" s="5"/>
    </row>
    <row r="169" spans="1:7" ht="15.75" customHeight="1">
      <c r="A169" s="3">
        <v>21718</v>
      </c>
      <c r="B169" s="4">
        <v>30</v>
      </c>
      <c r="C169" s="8"/>
      <c r="D169" s="8"/>
      <c r="E169" s="8"/>
      <c r="F169" s="8"/>
      <c r="G169" s="5"/>
    </row>
    <row r="170" spans="1:7" ht="15.75" customHeight="1">
      <c r="A170" s="3">
        <v>21719</v>
      </c>
      <c r="B170" s="4">
        <v>36</v>
      </c>
      <c r="C170" s="8"/>
      <c r="D170" s="8"/>
      <c r="E170" s="8"/>
      <c r="F170" s="8"/>
      <c r="G170" s="5"/>
    </row>
    <row r="171" spans="1:7" ht="15.75" customHeight="1">
      <c r="A171" s="3">
        <v>21720</v>
      </c>
      <c r="B171" s="4">
        <v>40</v>
      </c>
      <c r="C171" s="8"/>
      <c r="D171" s="8"/>
      <c r="E171" s="8"/>
      <c r="F171" s="8"/>
      <c r="G171" s="5"/>
    </row>
    <row r="172" spans="1:7" ht="15.75" customHeight="1">
      <c r="A172" s="3">
        <v>21721</v>
      </c>
      <c r="B172" s="4">
        <v>39</v>
      </c>
      <c r="C172" s="8"/>
      <c r="D172" s="8"/>
      <c r="E172" s="8"/>
      <c r="F172" s="8"/>
      <c r="G172" s="5"/>
    </row>
    <row r="173" spans="1:7" ht="15.75" customHeight="1">
      <c r="A173" s="3">
        <v>21722</v>
      </c>
      <c r="B173" s="4">
        <v>45</v>
      </c>
      <c r="C173" s="8"/>
      <c r="D173" s="8"/>
      <c r="E173" s="8"/>
      <c r="F173" s="8"/>
      <c r="G173" s="5"/>
    </row>
    <row r="174" spans="1:7" ht="15.75" customHeight="1">
      <c r="A174" s="3">
        <v>21723</v>
      </c>
      <c r="B174" s="4">
        <v>38</v>
      </c>
      <c r="C174" s="8"/>
      <c r="D174" s="8"/>
      <c r="E174" s="8"/>
      <c r="F174" s="8"/>
      <c r="G174" s="5"/>
    </row>
    <row r="175" spans="1:7" ht="15.75" customHeight="1">
      <c r="A175" s="3">
        <v>21724</v>
      </c>
      <c r="B175" s="4">
        <v>47</v>
      </c>
      <c r="C175" s="8"/>
      <c r="D175" s="8"/>
      <c r="E175" s="8"/>
      <c r="F175" s="8"/>
      <c r="G175" s="5"/>
    </row>
    <row r="176" spans="1:7" ht="15.75" customHeight="1">
      <c r="A176" s="3">
        <v>21725</v>
      </c>
      <c r="B176" s="4">
        <v>33</v>
      </c>
      <c r="C176" s="8"/>
      <c r="D176" s="8"/>
      <c r="E176" s="8"/>
      <c r="F176" s="8"/>
      <c r="G176" s="5"/>
    </row>
    <row r="177" spans="1:7" ht="15.75" customHeight="1">
      <c r="A177" s="3">
        <v>21726</v>
      </c>
      <c r="B177" s="4">
        <v>30</v>
      </c>
      <c r="C177" s="8"/>
      <c r="D177" s="8"/>
      <c r="E177" s="8"/>
      <c r="F177" s="8"/>
      <c r="G177" s="5"/>
    </row>
    <row r="178" spans="1:7" ht="15.75" customHeight="1">
      <c r="A178" s="3">
        <v>21727</v>
      </c>
      <c r="B178" s="4">
        <v>42</v>
      </c>
      <c r="C178" s="8"/>
      <c r="D178" s="8"/>
      <c r="E178" s="8"/>
      <c r="F178" s="8"/>
      <c r="G178" s="5"/>
    </row>
    <row r="179" spans="1:7" ht="15.75" customHeight="1">
      <c r="A179" s="3">
        <v>21728</v>
      </c>
      <c r="B179" s="4">
        <v>43</v>
      </c>
      <c r="C179" s="8"/>
      <c r="D179" s="8"/>
      <c r="E179" s="8"/>
      <c r="F179" s="8"/>
      <c r="G179" s="5"/>
    </row>
    <row r="180" spans="1:7" ht="15.75" customHeight="1">
      <c r="A180" s="3">
        <v>21729</v>
      </c>
      <c r="B180" s="4">
        <v>41</v>
      </c>
      <c r="C180" s="8"/>
      <c r="D180" s="8"/>
      <c r="E180" s="8"/>
      <c r="F180" s="8"/>
      <c r="G180" s="5"/>
    </row>
    <row r="181" spans="1:7" ht="15.75" customHeight="1">
      <c r="A181" s="3">
        <v>21730</v>
      </c>
      <c r="B181" s="4">
        <v>41</v>
      </c>
      <c r="C181" s="8"/>
      <c r="D181" s="8"/>
      <c r="E181" s="8"/>
      <c r="F181" s="8"/>
      <c r="G181" s="5"/>
    </row>
    <row r="182" spans="1:7" ht="15.75" customHeight="1">
      <c r="A182" s="3">
        <v>21731</v>
      </c>
      <c r="B182" s="4">
        <v>59</v>
      </c>
      <c r="C182" s="8"/>
      <c r="D182" s="8"/>
      <c r="E182" s="8"/>
      <c r="F182" s="8"/>
      <c r="G182" s="5"/>
    </row>
    <row r="183" spans="1:7" ht="15.75" customHeight="1">
      <c r="A183" s="3">
        <v>21732</v>
      </c>
      <c r="B183" s="4">
        <v>43</v>
      </c>
      <c r="C183" s="8"/>
      <c r="D183" s="8"/>
      <c r="E183" s="8"/>
      <c r="F183" s="8"/>
      <c r="G183" s="5"/>
    </row>
    <row r="184" spans="1:7" ht="15.75" customHeight="1">
      <c r="A184" s="3">
        <v>21733</v>
      </c>
      <c r="B184" s="4">
        <v>45</v>
      </c>
      <c r="C184" s="8"/>
      <c r="D184" s="8"/>
      <c r="E184" s="8"/>
      <c r="F184" s="8"/>
      <c r="G184" s="5"/>
    </row>
    <row r="185" spans="1:7" ht="15.75" customHeight="1">
      <c r="A185" s="3">
        <v>21734</v>
      </c>
      <c r="B185" s="4">
        <v>38</v>
      </c>
      <c r="C185" s="8"/>
      <c r="D185" s="8"/>
      <c r="E185" s="8"/>
      <c r="F185" s="8"/>
      <c r="G185" s="5"/>
    </row>
    <row r="186" spans="1:7" ht="15.75" customHeight="1">
      <c r="A186" s="3">
        <v>21735</v>
      </c>
      <c r="B186" s="4">
        <v>37</v>
      </c>
      <c r="C186" s="8"/>
      <c r="D186" s="8"/>
      <c r="E186" s="8"/>
      <c r="F186" s="8"/>
      <c r="G186" s="5"/>
    </row>
    <row r="187" spans="1:7" ht="15.75" customHeight="1">
      <c r="A187" s="3">
        <v>21736</v>
      </c>
      <c r="B187" s="4">
        <v>45</v>
      </c>
      <c r="C187" s="8"/>
      <c r="D187" s="8"/>
      <c r="E187" s="8"/>
      <c r="F187" s="8"/>
      <c r="G187" s="5"/>
    </row>
    <row r="188" spans="1:7" ht="15.75" customHeight="1">
      <c r="A188" s="3">
        <v>21737</v>
      </c>
      <c r="B188" s="4">
        <v>42</v>
      </c>
      <c r="C188" s="8"/>
      <c r="D188" s="8"/>
      <c r="E188" s="8"/>
      <c r="F188" s="8"/>
      <c r="G188" s="5"/>
    </row>
    <row r="189" spans="1:7" ht="15.75" customHeight="1">
      <c r="A189" s="3">
        <v>21738</v>
      </c>
      <c r="B189" s="4">
        <v>57</v>
      </c>
      <c r="C189" s="8"/>
      <c r="D189" s="8"/>
      <c r="E189" s="8"/>
      <c r="F189" s="8"/>
      <c r="G189" s="5"/>
    </row>
    <row r="190" spans="1:7" ht="15.75" customHeight="1">
      <c r="A190" s="3">
        <v>21739</v>
      </c>
      <c r="B190" s="4">
        <v>46</v>
      </c>
      <c r="C190" s="8"/>
      <c r="D190" s="8"/>
      <c r="E190" s="8"/>
      <c r="F190" s="8"/>
      <c r="G190" s="5"/>
    </row>
    <row r="191" spans="1:7" ht="15.75" customHeight="1">
      <c r="A191" s="3">
        <v>21740</v>
      </c>
      <c r="B191" s="4">
        <v>51</v>
      </c>
      <c r="C191" s="8"/>
      <c r="D191" s="8"/>
      <c r="E191" s="8"/>
      <c r="F191" s="8"/>
      <c r="G191" s="5"/>
    </row>
    <row r="192" spans="1:7" ht="15.75" customHeight="1">
      <c r="A192" s="3">
        <v>21741</v>
      </c>
      <c r="B192" s="4">
        <v>41</v>
      </c>
      <c r="C192" s="8"/>
      <c r="D192" s="8"/>
      <c r="E192" s="8"/>
      <c r="F192" s="8"/>
      <c r="G192" s="5"/>
    </row>
    <row r="193" spans="1:7" ht="15.75" customHeight="1">
      <c r="A193" s="3">
        <v>21742</v>
      </c>
      <c r="B193" s="4">
        <v>47</v>
      </c>
      <c r="C193" s="8"/>
      <c r="D193" s="8"/>
      <c r="E193" s="8"/>
      <c r="F193" s="8"/>
      <c r="G193" s="5"/>
    </row>
    <row r="194" spans="1:7" ht="15.75" customHeight="1">
      <c r="A194" s="3">
        <v>21743</v>
      </c>
      <c r="B194" s="4">
        <v>26</v>
      </c>
      <c r="C194" s="8"/>
      <c r="D194" s="8"/>
      <c r="E194" s="8"/>
      <c r="F194" s="8"/>
      <c r="G194" s="5"/>
    </row>
    <row r="195" spans="1:7" ht="15.75" customHeight="1">
      <c r="A195" s="3">
        <v>21744</v>
      </c>
      <c r="B195" s="4">
        <v>35</v>
      </c>
      <c r="C195" s="8"/>
      <c r="D195" s="8"/>
      <c r="E195" s="8"/>
      <c r="F195" s="8"/>
      <c r="G195" s="5"/>
    </row>
    <row r="196" spans="1:7" ht="15.75" customHeight="1">
      <c r="A196" s="3">
        <v>21745</v>
      </c>
      <c r="B196" s="4">
        <v>44</v>
      </c>
      <c r="C196" s="8"/>
      <c r="D196" s="8"/>
      <c r="E196" s="8"/>
      <c r="F196" s="8"/>
      <c r="G196" s="5"/>
    </row>
    <row r="197" spans="1:7" ht="15.75" customHeight="1">
      <c r="A197" s="3">
        <v>21746</v>
      </c>
      <c r="B197" s="4">
        <v>41</v>
      </c>
      <c r="C197" s="8"/>
      <c r="D197" s="8"/>
      <c r="E197" s="8"/>
      <c r="F197" s="8"/>
      <c r="G197" s="5"/>
    </row>
    <row r="198" spans="1:7" ht="15.75" customHeight="1">
      <c r="A198" s="3">
        <v>21747</v>
      </c>
      <c r="B198" s="4">
        <v>42</v>
      </c>
      <c r="C198" s="8"/>
      <c r="D198" s="8"/>
      <c r="E198" s="8"/>
      <c r="F198" s="8"/>
      <c r="G198" s="5"/>
    </row>
    <row r="199" spans="1:7" ht="15.75" customHeight="1">
      <c r="A199" s="3">
        <v>21748</v>
      </c>
      <c r="B199" s="4">
        <v>36</v>
      </c>
      <c r="C199" s="8"/>
      <c r="D199" s="8"/>
      <c r="E199" s="8"/>
      <c r="F199" s="8"/>
      <c r="G199" s="5"/>
    </row>
    <row r="200" spans="1:7" ht="15.75" customHeight="1">
      <c r="A200" s="3">
        <v>21749</v>
      </c>
      <c r="B200" s="4">
        <v>45</v>
      </c>
      <c r="C200" s="8"/>
      <c r="D200" s="8"/>
      <c r="E200" s="8"/>
      <c r="F200" s="8"/>
      <c r="G200" s="5"/>
    </row>
    <row r="201" spans="1:7" ht="15.75" customHeight="1">
      <c r="A201" s="3">
        <v>21750</v>
      </c>
      <c r="B201" s="4">
        <v>45</v>
      </c>
      <c r="C201" s="8"/>
      <c r="D201" s="8"/>
      <c r="E201" s="8"/>
      <c r="F201" s="8"/>
      <c r="G201" s="5"/>
    </row>
    <row r="202" spans="1:7" ht="15.75" customHeight="1">
      <c r="A202" s="3">
        <v>21751</v>
      </c>
      <c r="B202" s="4">
        <v>45</v>
      </c>
      <c r="C202" s="8"/>
      <c r="D202" s="8"/>
      <c r="E202" s="8"/>
      <c r="F202" s="8"/>
      <c r="G202" s="5"/>
    </row>
    <row r="203" spans="1:7" ht="15.75" customHeight="1">
      <c r="A203" s="3">
        <v>21752</v>
      </c>
      <c r="B203" s="4">
        <v>47</v>
      </c>
      <c r="C203" s="8"/>
      <c r="D203" s="8"/>
      <c r="E203" s="8"/>
      <c r="F203" s="8"/>
      <c r="G203" s="5"/>
    </row>
    <row r="204" spans="1:7" ht="15.75" customHeight="1">
      <c r="A204" s="3">
        <v>21753</v>
      </c>
      <c r="B204" s="4">
        <v>38</v>
      </c>
      <c r="C204" s="8"/>
      <c r="D204" s="8"/>
      <c r="E204" s="8"/>
      <c r="F204" s="8"/>
      <c r="G204" s="5"/>
    </row>
    <row r="205" spans="1:7" ht="15.75" customHeight="1">
      <c r="A205" s="3">
        <v>21754</v>
      </c>
      <c r="B205" s="4">
        <v>42</v>
      </c>
      <c r="C205" s="8"/>
      <c r="D205" s="8"/>
      <c r="E205" s="8"/>
      <c r="F205" s="8"/>
      <c r="G205" s="5"/>
    </row>
    <row r="206" spans="1:7" ht="15.75" customHeight="1">
      <c r="A206" s="3">
        <v>21755</v>
      </c>
      <c r="B206" s="4">
        <v>35</v>
      </c>
      <c r="C206" s="8"/>
      <c r="D206" s="8"/>
      <c r="E206" s="8"/>
      <c r="F206" s="8"/>
      <c r="G206" s="5"/>
    </row>
    <row r="207" spans="1:7" ht="15.75" customHeight="1">
      <c r="A207" s="3">
        <v>21756</v>
      </c>
      <c r="B207" s="4">
        <v>36</v>
      </c>
      <c r="C207" s="8"/>
      <c r="D207" s="8"/>
      <c r="E207" s="8"/>
      <c r="F207" s="8"/>
      <c r="G207" s="5"/>
    </row>
    <row r="208" spans="1:7" ht="15.75" customHeight="1">
      <c r="A208" s="3">
        <v>21757</v>
      </c>
      <c r="B208" s="4">
        <v>39</v>
      </c>
      <c r="C208" s="8"/>
      <c r="D208" s="8"/>
      <c r="E208" s="8"/>
      <c r="F208" s="8"/>
      <c r="G208" s="5"/>
    </row>
    <row r="209" spans="1:7" ht="15.75" customHeight="1">
      <c r="A209" s="3">
        <v>21758</v>
      </c>
      <c r="B209" s="4">
        <v>45</v>
      </c>
      <c r="C209" s="8"/>
      <c r="D209" s="8"/>
      <c r="E209" s="8"/>
      <c r="F209" s="8"/>
      <c r="G209" s="5"/>
    </row>
    <row r="210" spans="1:7" ht="15.75" customHeight="1">
      <c r="A210" s="3">
        <v>21759</v>
      </c>
      <c r="B210" s="4">
        <v>43</v>
      </c>
      <c r="C210" s="8"/>
      <c r="D210" s="8"/>
      <c r="E210" s="8"/>
      <c r="F210" s="8"/>
      <c r="G210" s="5"/>
    </row>
    <row r="211" spans="1:7" ht="15.75" customHeight="1">
      <c r="A211" s="3">
        <v>21760</v>
      </c>
      <c r="B211" s="4">
        <v>47</v>
      </c>
      <c r="C211" s="8"/>
      <c r="D211" s="8"/>
      <c r="E211" s="8"/>
      <c r="F211" s="8"/>
      <c r="G211" s="5"/>
    </row>
    <row r="212" spans="1:7" ht="15.75" customHeight="1">
      <c r="A212" s="3">
        <v>21761</v>
      </c>
      <c r="B212" s="4">
        <v>36</v>
      </c>
      <c r="C212" s="8"/>
      <c r="D212" s="8"/>
      <c r="E212" s="8"/>
      <c r="F212" s="8"/>
      <c r="G212" s="5"/>
    </row>
    <row r="213" spans="1:7" ht="15.75" customHeight="1">
      <c r="A213" s="3">
        <v>21762</v>
      </c>
      <c r="B213" s="4">
        <v>41</v>
      </c>
      <c r="C213" s="8"/>
      <c r="D213" s="8"/>
      <c r="E213" s="8"/>
      <c r="F213" s="8"/>
      <c r="G213" s="5"/>
    </row>
    <row r="214" spans="1:7" ht="15.75" customHeight="1">
      <c r="A214" s="3">
        <v>21763</v>
      </c>
      <c r="B214" s="4">
        <v>50</v>
      </c>
      <c r="C214" s="8"/>
      <c r="D214" s="8"/>
      <c r="E214" s="8"/>
      <c r="F214" s="8"/>
      <c r="G214" s="5"/>
    </row>
    <row r="215" spans="1:7" ht="15.75" customHeight="1">
      <c r="A215" s="3">
        <v>21764</v>
      </c>
      <c r="B215" s="4">
        <v>39</v>
      </c>
      <c r="C215" s="8"/>
      <c r="D215" s="8"/>
      <c r="E215" s="8"/>
      <c r="F215" s="8"/>
      <c r="G215" s="5"/>
    </row>
    <row r="216" spans="1:7" ht="15.75" customHeight="1">
      <c r="A216" s="3">
        <v>21765</v>
      </c>
      <c r="B216" s="4">
        <v>41</v>
      </c>
      <c r="C216" s="8"/>
      <c r="D216" s="8"/>
      <c r="E216" s="8"/>
      <c r="F216" s="8"/>
      <c r="G216" s="5"/>
    </row>
    <row r="217" spans="1:7" ht="15.75" customHeight="1">
      <c r="A217" s="3">
        <v>21766</v>
      </c>
      <c r="B217" s="4">
        <v>46</v>
      </c>
      <c r="C217" s="8"/>
      <c r="D217" s="8"/>
      <c r="E217" s="8"/>
      <c r="F217" s="8"/>
      <c r="G217" s="5"/>
    </row>
    <row r="218" spans="1:7" ht="15.75" customHeight="1">
      <c r="A218" s="3">
        <v>21767</v>
      </c>
      <c r="B218" s="4">
        <v>64</v>
      </c>
      <c r="C218" s="8"/>
      <c r="D218" s="8"/>
      <c r="E218" s="8"/>
      <c r="F218" s="8"/>
      <c r="G218" s="5"/>
    </row>
    <row r="219" spans="1:7" ht="15.75" customHeight="1">
      <c r="A219" s="3">
        <v>21768</v>
      </c>
      <c r="B219" s="4">
        <v>45</v>
      </c>
      <c r="C219" s="8"/>
      <c r="D219" s="8"/>
      <c r="E219" s="8"/>
      <c r="F219" s="8"/>
      <c r="G219" s="5"/>
    </row>
    <row r="220" spans="1:7" ht="15.75" customHeight="1">
      <c r="A220" s="3">
        <v>21769</v>
      </c>
      <c r="B220" s="4">
        <v>34</v>
      </c>
      <c r="C220" s="8"/>
      <c r="D220" s="8"/>
      <c r="E220" s="8"/>
      <c r="F220" s="8"/>
      <c r="G220" s="5"/>
    </row>
    <row r="221" spans="1:7" ht="15.75" customHeight="1">
      <c r="A221" s="3">
        <v>21770</v>
      </c>
      <c r="B221" s="4">
        <v>38</v>
      </c>
      <c r="C221" s="8"/>
      <c r="D221" s="8"/>
      <c r="E221" s="8"/>
      <c r="F221" s="8"/>
      <c r="G221" s="5"/>
    </row>
    <row r="222" spans="1:7" ht="15.75" customHeight="1">
      <c r="A222" s="3">
        <v>21771</v>
      </c>
      <c r="B222" s="4">
        <v>44</v>
      </c>
      <c r="C222" s="8"/>
      <c r="D222" s="8"/>
      <c r="E222" s="8"/>
      <c r="F222" s="8"/>
      <c r="G222" s="5"/>
    </row>
    <row r="223" spans="1:7" ht="15.75" customHeight="1">
      <c r="A223" s="3">
        <v>21772</v>
      </c>
      <c r="B223" s="4">
        <v>48</v>
      </c>
      <c r="C223" s="8"/>
      <c r="D223" s="8"/>
      <c r="E223" s="8"/>
      <c r="F223" s="8"/>
      <c r="G223" s="5"/>
    </row>
    <row r="224" spans="1:7" ht="15.75" customHeight="1">
      <c r="A224" s="3">
        <v>21773</v>
      </c>
      <c r="B224" s="4">
        <v>46</v>
      </c>
      <c r="C224" s="8"/>
      <c r="D224" s="8"/>
      <c r="E224" s="8"/>
      <c r="F224" s="8"/>
      <c r="G224" s="5"/>
    </row>
    <row r="225" spans="1:7" ht="15.75" customHeight="1">
      <c r="A225" s="3">
        <v>21774</v>
      </c>
      <c r="B225" s="4">
        <v>44</v>
      </c>
      <c r="C225" s="8"/>
      <c r="D225" s="8"/>
      <c r="E225" s="8"/>
      <c r="F225" s="8"/>
      <c r="G225" s="5"/>
    </row>
    <row r="226" spans="1:7" ht="15.75" customHeight="1">
      <c r="A226" s="3">
        <v>21775</v>
      </c>
      <c r="B226" s="4">
        <v>37</v>
      </c>
      <c r="C226" s="8"/>
      <c r="D226" s="8"/>
      <c r="E226" s="8"/>
      <c r="F226" s="8"/>
      <c r="G226" s="5"/>
    </row>
    <row r="227" spans="1:7" ht="15.75" customHeight="1">
      <c r="A227" s="3">
        <v>21776</v>
      </c>
      <c r="B227" s="4">
        <v>39</v>
      </c>
      <c r="C227" s="8"/>
      <c r="D227" s="8"/>
      <c r="E227" s="8"/>
      <c r="F227" s="8"/>
      <c r="G227" s="5"/>
    </row>
    <row r="228" spans="1:7" ht="15.75" customHeight="1">
      <c r="A228" s="3">
        <v>21777</v>
      </c>
      <c r="B228" s="4">
        <v>44</v>
      </c>
      <c r="C228" s="8"/>
      <c r="D228" s="8"/>
      <c r="E228" s="8"/>
      <c r="F228" s="8"/>
      <c r="G228" s="5"/>
    </row>
    <row r="229" spans="1:7" ht="15.75" customHeight="1">
      <c r="A229" s="3">
        <v>21778</v>
      </c>
      <c r="B229" s="4">
        <v>45</v>
      </c>
      <c r="C229" s="8"/>
      <c r="D229" s="8"/>
      <c r="E229" s="8"/>
      <c r="F229" s="8"/>
      <c r="G229" s="5"/>
    </row>
    <row r="230" spans="1:7" ht="15.75" customHeight="1">
      <c r="A230" s="3">
        <v>21779</v>
      </c>
      <c r="B230" s="4">
        <v>33</v>
      </c>
      <c r="C230" s="8"/>
      <c r="D230" s="8"/>
      <c r="E230" s="8"/>
      <c r="F230" s="8"/>
      <c r="G230" s="5"/>
    </row>
    <row r="231" spans="1:7" ht="15.75" customHeight="1">
      <c r="A231" s="3">
        <v>21780</v>
      </c>
      <c r="B231" s="4">
        <v>44</v>
      </c>
      <c r="C231" s="8"/>
      <c r="D231" s="8"/>
      <c r="E231" s="8"/>
      <c r="F231" s="8"/>
      <c r="G231" s="5"/>
    </row>
    <row r="232" spans="1:7" ht="15.75" customHeight="1">
      <c r="A232" s="3">
        <v>21781</v>
      </c>
      <c r="B232" s="4">
        <v>38</v>
      </c>
      <c r="C232" s="8"/>
      <c r="D232" s="8"/>
      <c r="E232" s="8"/>
      <c r="F232" s="8"/>
      <c r="G232" s="5"/>
    </row>
    <row r="233" spans="1:7" ht="15.75" customHeight="1">
      <c r="A233" s="3">
        <v>21782</v>
      </c>
      <c r="B233" s="4">
        <v>46</v>
      </c>
      <c r="C233" s="8"/>
      <c r="D233" s="8"/>
      <c r="E233" s="8"/>
      <c r="F233" s="8"/>
      <c r="G233" s="5"/>
    </row>
    <row r="234" spans="1:7" ht="15.75" customHeight="1">
      <c r="A234" s="3">
        <v>21783</v>
      </c>
      <c r="B234" s="4">
        <v>46</v>
      </c>
      <c r="C234" s="8"/>
      <c r="D234" s="8"/>
      <c r="E234" s="8"/>
      <c r="F234" s="8"/>
      <c r="G234" s="5"/>
    </row>
    <row r="235" spans="1:7" ht="15.75" customHeight="1">
      <c r="A235" s="3">
        <v>21784</v>
      </c>
      <c r="B235" s="4">
        <v>40</v>
      </c>
      <c r="C235" s="8"/>
      <c r="D235" s="8"/>
      <c r="E235" s="8"/>
      <c r="F235" s="8"/>
      <c r="G235" s="5"/>
    </row>
    <row r="236" spans="1:7" ht="15.75" customHeight="1">
      <c r="A236" s="3">
        <v>21785</v>
      </c>
      <c r="B236" s="4">
        <v>39</v>
      </c>
      <c r="C236" s="8"/>
      <c r="D236" s="8"/>
      <c r="E236" s="8"/>
      <c r="F236" s="8"/>
      <c r="G236" s="5"/>
    </row>
    <row r="237" spans="1:7" ht="15.75" customHeight="1">
      <c r="A237" s="3">
        <v>21786</v>
      </c>
      <c r="B237" s="4">
        <v>44</v>
      </c>
      <c r="C237" s="8"/>
      <c r="D237" s="8"/>
      <c r="E237" s="8"/>
      <c r="F237" s="8"/>
      <c r="G237" s="5"/>
    </row>
    <row r="238" spans="1:7" ht="15.75" customHeight="1">
      <c r="A238" s="3">
        <v>21787</v>
      </c>
      <c r="B238" s="4">
        <v>48</v>
      </c>
      <c r="C238" s="8"/>
      <c r="D238" s="8"/>
      <c r="E238" s="8"/>
      <c r="F238" s="8"/>
      <c r="G238" s="5"/>
    </row>
    <row r="239" spans="1:7" ht="15.75" customHeight="1">
      <c r="A239" s="3">
        <v>21788</v>
      </c>
      <c r="B239" s="4">
        <v>50</v>
      </c>
      <c r="C239" s="8"/>
      <c r="D239" s="8"/>
      <c r="E239" s="8"/>
      <c r="F239" s="8"/>
      <c r="G239" s="5"/>
    </row>
    <row r="240" spans="1:7" ht="15.75" customHeight="1">
      <c r="A240" s="3">
        <v>21789</v>
      </c>
      <c r="B240" s="4">
        <v>41</v>
      </c>
      <c r="C240" s="8"/>
      <c r="D240" s="8"/>
      <c r="E240" s="8"/>
      <c r="F240" s="8"/>
      <c r="G240" s="5"/>
    </row>
    <row r="241" spans="1:7" ht="15.75" customHeight="1">
      <c r="A241" s="3">
        <v>21790</v>
      </c>
      <c r="B241" s="4">
        <v>42</v>
      </c>
      <c r="C241" s="8"/>
      <c r="D241" s="8"/>
      <c r="E241" s="8"/>
      <c r="F241" s="8"/>
      <c r="G241" s="5"/>
    </row>
    <row r="242" spans="1:7" ht="15.75" customHeight="1">
      <c r="A242" s="3">
        <v>21791</v>
      </c>
      <c r="B242" s="4">
        <v>51</v>
      </c>
      <c r="C242" s="8"/>
      <c r="D242" s="8"/>
      <c r="E242" s="8"/>
      <c r="F242" s="8"/>
      <c r="G242" s="5"/>
    </row>
    <row r="243" spans="1:7" ht="15.75" customHeight="1">
      <c r="A243" s="3">
        <v>21792</v>
      </c>
      <c r="B243" s="4">
        <v>41</v>
      </c>
      <c r="C243" s="8"/>
      <c r="D243" s="8"/>
      <c r="E243" s="8"/>
      <c r="F243" s="8"/>
      <c r="G243" s="5"/>
    </row>
    <row r="244" spans="1:7" ht="15.75" customHeight="1">
      <c r="A244" s="3">
        <v>21793</v>
      </c>
      <c r="B244" s="4">
        <v>44</v>
      </c>
      <c r="C244" s="8"/>
      <c r="D244" s="8"/>
      <c r="E244" s="8"/>
      <c r="F244" s="8"/>
      <c r="G244" s="5"/>
    </row>
    <row r="245" spans="1:7" ht="15.75" customHeight="1">
      <c r="A245" s="3">
        <v>21794</v>
      </c>
      <c r="B245" s="4">
        <v>38</v>
      </c>
      <c r="C245" s="8"/>
      <c r="D245" s="8"/>
      <c r="E245" s="8"/>
      <c r="F245" s="8"/>
      <c r="G245" s="5"/>
    </row>
    <row r="246" spans="1:7" ht="15.75" customHeight="1">
      <c r="A246" s="3">
        <v>21795</v>
      </c>
      <c r="B246" s="4">
        <v>68</v>
      </c>
      <c r="C246" s="8"/>
      <c r="D246" s="8"/>
      <c r="E246" s="8"/>
      <c r="F246" s="8"/>
      <c r="G246" s="5"/>
    </row>
    <row r="247" spans="1:7" ht="15.75" customHeight="1">
      <c r="A247" s="3">
        <v>21796</v>
      </c>
      <c r="B247" s="4">
        <v>40</v>
      </c>
      <c r="C247" s="8"/>
      <c r="D247" s="8"/>
      <c r="E247" s="8"/>
      <c r="F247" s="8"/>
      <c r="G247" s="5"/>
    </row>
    <row r="248" spans="1:7" ht="15.75" customHeight="1">
      <c r="A248" s="3">
        <v>21797</v>
      </c>
      <c r="B248" s="4">
        <v>42</v>
      </c>
      <c r="C248" s="8"/>
      <c r="D248" s="8"/>
      <c r="E248" s="8"/>
      <c r="F248" s="8"/>
      <c r="G248" s="5"/>
    </row>
    <row r="249" spans="1:7" ht="15.75" customHeight="1">
      <c r="A249" s="3">
        <v>21798</v>
      </c>
      <c r="B249" s="4">
        <v>51</v>
      </c>
      <c r="C249" s="8"/>
      <c r="D249" s="8"/>
      <c r="E249" s="8"/>
      <c r="F249" s="8"/>
      <c r="G249" s="5"/>
    </row>
    <row r="250" spans="1:7" ht="15.75" customHeight="1">
      <c r="A250" s="3">
        <v>21799</v>
      </c>
      <c r="B250" s="4">
        <v>44</v>
      </c>
      <c r="C250" s="8"/>
      <c r="D250" s="8"/>
      <c r="E250" s="8"/>
      <c r="F250" s="8"/>
      <c r="G250" s="5"/>
    </row>
    <row r="251" spans="1:7" ht="15.75" customHeight="1">
      <c r="A251" s="3">
        <v>21800</v>
      </c>
      <c r="B251" s="4">
        <v>45</v>
      </c>
      <c r="C251" s="8"/>
      <c r="D251" s="8"/>
      <c r="E251" s="8"/>
      <c r="F251" s="8"/>
      <c r="G251" s="5"/>
    </row>
    <row r="252" spans="1:7" ht="15.75" customHeight="1">
      <c r="A252" s="3">
        <v>21801</v>
      </c>
      <c r="B252" s="4">
        <v>36</v>
      </c>
      <c r="C252" s="8"/>
      <c r="D252" s="8"/>
      <c r="E252" s="8"/>
      <c r="F252" s="8"/>
      <c r="G252" s="5"/>
    </row>
    <row r="253" spans="1:7" ht="15.75" customHeight="1">
      <c r="A253" s="3">
        <v>21802</v>
      </c>
      <c r="B253" s="4">
        <v>57</v>
      </c>
      <c r="C253" s="8"/>
      <c r="D253" s="8"/>
      <c r="E253" s="8"/>
      <c r="F253" s="8"/>
      <c r="G253" s="5"/>
    </row>
    <row r="254" spans="1:7" ht="15.75" customHeight="1">
      <c r="A254" s="3">
        <v>21803</v>
      </c>
      <c r="B254" s="4">
        <v>44</v>
      </c>
      <c r="C254" s="8"/>
      <c r="D254" s="8"/>
      <c r="E254" s="8"/>
      <c r="F254" s="8"/>
      <c r="G254" s="5"/>
    </row>
    <row r="255" spans="1:7" ht="15.75" customHeight="1">
      <c r="A255" s="3">
        <v>21804</v>
      </c>
      <c r="B255" s="4">
        <v>42</v>
      </c>
      <c r="C255" s="8"/>
      <c r="D255" s="8"/>
      <c r="E255" s="8"/>
      <c r="F255" s="8"/>
      <c r="G255" s="5"/>
    </row>
    <row r="256" spans="1:7" ht="15.75" customHeight="1">
      <c r="A256" s="3">
        <v>21805</v>
      </c>
      <c r="B256" s="4">
        <v>53</v>
      </c>
      <c r="C256" s="8"/>
      <c r="D256" s="8"/>
      <c r="E256" s="8"/>
      <c r="F256" s="8"/>
      <c r="G256" s="5"/>
    </row>
    <row r="257" spans="1:7" ht="15.75" customHeight="1">
      <c r="A257" s="3">
        <v>21806</v>
      </c>
      <c r="B257" s="4">
        <v>42</v>
      </c>
      <c r="C257" s="8"/>
      <c r="D257" s="8"/>
      <c r="E257" s="8"/>
      <c r="F257" s="8"/>
      <c r="G257" s="5"/>
    </row>
    <row r="258" spans="1:7" ht="15.75" customHeight="1">
      <c r="A258" s="3">
        <v>21807</v>
      </c>
      <c r="B258" s="4">
        <v>34</v>
      </c>
      <c r="C258" s="8"/>
      <c r="D258" s="8"/>
      <c r="E258" s="8"/>
      <c r="F258" s="8"/>
      <c r="G258" s="5"/>
    </row>
    <row r="259" spans="1:7" ht="15.75" customHeight="1">
      <c r="A259" s="3">
        <v>21808</v>
      </c>
      <c r="B259" s="4">
        <v>40</v>
      </c>
      <c r="C259" s="8"/>
      <c r="D259" s="8"/>
      <c r="E259" s="8"/>
      <c r="F259" s="8"/>
      <c r="G259" s="5"/>
    </row>
    <row r="260" spans="1:7" ht="15.75" customHeight="1">
      <c r="A260" s="3">
        <v>21809</v>
      </c>
      <c r="B260" s="4">
        <v>56</v>
      </c>
      <c r="C260" s="8"/>
      <c r="D260" s="8"/>
      <c r="E260" s="8"/>
      <c r="F260" s="8"/>
      <c r="G260" s="5"/>
    </row>
    <row r="261" spans="1:7" ht="15.75" customHeight="1">
      <c r="A261" s="3">
        <v>21810</v>
      </c>
      <c r="B261" s="4">
        <v>44</v>
      </c>
      <c r="C261" s="8"/>
      <c r="D261" s="8"/>
      <c r="E261" s="8"/>
      <c r="F261" s="8"/>
      <c r="G261" s="5"/>
    </row>
    <row r="262" spans="1:7" ht="15.75" customHeight="1">
      <c r="A262" s="3">
        <v>21811</v>
      </c>
      <c r="B262" s="4">
        <v>53</v>
      </c>
      <c r="C262" s="8"/>
      <c r="D262" s="8"/>
      <c r="E262" s="8"/>
      <c r="F262" s="8"/>
      <c r="G262" s="5"/>
    </row>
    <row r="263" spans="1:7" ht="15.75" customHeight="1">
      <c r="A263" s="3">
        <v>21812</v>
      </c>
      <c r="B263" s="4">
        <v>55</v>
      </c>
      <c r="C263" s="8"/>
      <c r="D263" s="8"/>
      <c r="E263" s="8"/>
      <c r="F263" s="8"/>
      <c r="G263" s="5"/>
    </row>
    <row r="264" spans="1:7" ht="15.75" customHeight="1">
      <c r="A264" s="3">
        <v>21813</v>
      </c>
      <c r="B264" s="4">
        <v>39</v>
      </c>
      <c r="C264" s="8"/>
      <c r="D264" s="8"/>
      <c r="E264" s="8"/>
      <c r="F264" s="8"/>
      <c r="G264" s="5"/>
    </row>
    <row r="265" spans="1:7" ht="15.75" customHeight="1">
      <c r="A265" s="3">
        <v>21814</v>
      </c>
      <c r="B265" s="4">
        <v>59</v>
      </c>
      <c r="C265" s="8"/>
      <c r="D265" s="8"/>
      <c r="E265" s="8"/>
      <c r="F265" s="8"/>
      <c r="G265" s="5"/>
    </row>
    <row r="266" spans="1:7" ht="15.75" customHeight="1">
      <c r="A266" s="3">
        <v>21815</v>
      </c>
      <c r="B266" s="4">
        <v>55</v>
      </c>
      <c r="C266" s="8"/>
      <c r="D266" s="8"/>
      <c r="E266" s="8"/>
      <c r="F266" s="8"/>
      <c r="G266" s="5"/>
    </row>
    <row r="267" spans="1:7" ht="15.75" customHeight="1">
      <c r="A267" s="3">
        <v>21816</v>
      </c>
      <c r="B267" s="4">
        <v>73</v>
      </c>
      <c r="C267" s="8"/>
      <c r="D267" s="8"/>
      <c r="E267" s="8"/>
      <c r="F267" s="8"/>
      <c r="G267" s="5"/>
    </row>
    <row r="268" spans="1:7" ht="15.75" customHeight="1">
      <c r="A268" s="3">
        <v>21817</v>
      </c>
      <c r="B268" s="4">
        <v>55</v>
      </c>
      <c r="C268" s="8"/>
      <c r="D268" s="8"/>
      <c r="E268" s="8"/>
      <c r="F268" s="8"/>
      <c r="G268" s="5"/>
    </row>
    <row r="269" spans="1:7" ht="15.75" customHeight="1">
      <c r="A269" s="3">
        <v>21818</v>
      </c>
      <c r="B269" s="4">
        <v>44</v>
      </c>
      <c r="C269" s="8"/>
      <c r="D269" s="8"/>
      <c r="E269" s="8"/>
      <c r="F269" s="8"/>
      <c r="G269" s="5"/>
    </row>
    <row r="270" spans="1:7" ht="15.75" customHeight="1">
      <c r="A270" s="3">
        <v>21819</v>
      </c>
      <c r="B270" s="4">
        <v>43</v>
      </c>
      <c r="C270" s="8"/>
      <c r="D270" s="8"/>
      <c r="E270" s="8"/>
      <c r="F270" s="8"/>
      <c r="G270" s="5"/>
    </row>
    <row r="271" spans="1:7" ht="15.75" customHeight="1">
      <c r="A271" s="3">
        <v>21820</v>
      </c>
      <c r="B271" s="4">
        <v>40</v>
      </c>
      <c r="C271" s="8"/>
      <c r="D271" s="8"/>
      <c r="E271" s="8"/>
      <c r="F271" s="8"/>
      <c r="G271" s="5"/>
    </row>
    <row r="272" spans="1:7" ht="15.75" customHeight="1">
      <c r="A272" s="3">
        <v>21821</v>
      </c>
      <c r="B272" s="4">
        <v>47</v>
      </c>
      <c r="C272" s="8"/>
      <c r="D272" s="8"/>
      <c r="E272" s="8"/>
      <c r="F272" s="8"/>
      <c r="G272" s="5"/>
    </row>
    <row r="273" spans="1:7" ht="15.75" customHeight="1">
      <c r="A273" s="3">
        <v>21822</v>
      </c>
      <c r="B273" s="4">
        <v>51</v>
      </c>
      <c r="C273" s="8"/>
      <c r="D273" s="8"/>
      <c r="E273" s="8"/>
      <c r="F273" s="8"/>
      <c r="G273" s="5"/>
    </row>
    <row r="274" spans="1:7" ht="15.75" customHeight="1">
      <c r="A274" s="3">
        <v>21823</v>
      </c>
      <c r="B274" s="4">
        <v>56</v>
      </c>
      <c r="C274" s="8"/>
      <c r="D274" s="8"/>
      <c r="E274" s="8"/>
      <c r="F274" s="8"/>
      <c r="G274" s="5"/>
    </row>
    <row r="275" spans="1:7" ht="15.75" customHeight="1">
      <c r="A275" s="3">
        <v>21824</v>
      </c>
      <c r="B275" s="4">
        <v>49</v>
      </c>
      <c r="C275" s="8"/>
      <c r="D275" s="8"/>
      <c r="E275" s="8"/>
      <c r="F275" s="8"/>
      <c r="G275" s="5"/>
    </row>
    <row r="276" spans="1:7" ht="15.75" customHeight="1">
      <c r="A276" s="3">
        <v>21825</v>
      </c>
      <c r="B276" s="4">
        <v>54</v>
      </c>
      <c r="C276" s="8"/>
      <c r="D276" s="8"/>
      <c r="E276" s="8"/>
      <c r="F276" s="8"/>
      <c r="G276" s="5"/>
    </row>
    <row r="277" spans="1:7" ht="15.75" customHeight="1">
      <c r="A277" s="3">
        <v>21826</v>
      </c>
      <c r="B277" s="4">
        <v>56</v>
      </c>
      <c r="C277" s="8"/>
      <c r="D277" s="8"/>
      <c r="E277" s="8"/>
      <c r="F277" s="8"/>
      <c r="G277" s="5"/>
    </row>
    <row r="278" spans="1:7" ht="15.75" customHeight="1">
      <c r="A278" s="3">
        <v>21827</v>
      </c>
      <c r="B278" s="4">
        <v>47</v>
      </c>
      <c r="C278" s="8"/>
      <c r="D278" s="8"/>
      <c r="E278" s="8"/>
      <c r="F278" s="8"/>
      <c r="G278" s="5"/>
    </row>
    <row r="279" spans="1:7" ht="15.75" customHeight="1">
      <c r="A279" s="3">
        <v>21828</v>
      </c>
      <c r="B279" s="4">
        <v>44</v>
      </c>
      <c r="C279" s="8"/>
      <c r="D279" s="8"/>
      <c r="E279" s="8"/>
      <c r="F279" s="8"/>
      <c r="G279" s="5"/>
    </row>
    <row r="280" spans="1:7" ht="15.75" customHeight="1">
      <c r="A280" s="3">
        <v>21829</v>
      </c>
      <c r="B280" s="4">
        <v>43</v>
      </c>
      <c r="C280" s="8"/>
      <c r="D280" s="8"/>
      <c r="E280" s="8"/>
      <c r="F280" s="8"/>
      <c r="G280" s="5"/>
    </row>
    <row r="281" spans="1:7" ht="15.75" customHeight="1">
      <c r="A281" s="3">
        <v>21830</v>
      </c>
      <c r="B281" s="4">
        <v>42</v>
      </c>
      <c r="C281" s="8"/>
      <c r="D281" s="8"/>
      <c r="E281" s="8"/>
      <c r="F281" s="8"/>
      <c r="G281" s="5"/>
    </row>
    <row r="282" spans="1:7" ht="15.75" customHeight="1">
      <c r="A282" s="3">
        <v>21831</v>
      </c>
      <c r="B282" s="4">
        <v>45</v>
      </c>
      <c r="C282" s="8"/>
      <c r="D282" s="8"/>
      <c r="E282" s="8"/>
      <c r="F282" s="8"/>
      <c r="G282" s="5"/>
    </row>
    <row r="283" spans="1:7" ht="15.75" customHeight="1">
      <c r="A283" s="3">
        <v>21832</v>
      </c>
      <c r="B283" s="4">
        <v>50</v>
      </c>
      <c r="C283" s="8"/>
      <c r="D283" s="8"/>
      <c r="E283" s="8"/>
      <c r="F283" s="8"/>
      <c r="G283" s="5"/>
    </row>
    <row r="284" spans="1:7" ht="15.75" customHeight="1">
      <c r="A284" s="3">
        <v>21833</v>
      </c>
      <c r="B284" s="4">
        <v>48</v>
      </c>
      <c r="C284" s="8"/>
      <c r="D284" s="8"/>
      <c r="E284" s="8"/>
      <c r="F284" s="8"/>
      <c r="G284" s="5"/>
    </row>
    <row r="285" spans="1:7" ht="15.75" customHeight="1">
      <c r="A285" s="3">
        <v>21834</v>
      </c>
      <c r="B285" s="4">
        <v>43</v>
      </c>
      <c r="C285" s="8"/>
      <c r="D285" s="8"/>
      <c r="E285" s="8"/>
      <c r="F285" s="8"/>
      <c r="G285" s="5"/>
    </row>
    <row r="286" spans="1:7" ht="15.75" customHeight="1">
      <c r="A286" s="3">
        <v>21835</v>
      </c>
      <c r="B286" s="4">
        <v>40</v>
      </c>
      <c r="C286" s="8"/>
      <c r="D286" s="8"/>
      <c r="E286" s="8"/>
      <c r="F286" s="8"/>
      <c r="G286" s="5"/>
    </row>
    <row r="287" spans="1:7" ht="15.75" customHeight="1">
      <c r="A287" s="3">
        <v>21836</v>
      </c>
      <c r="B287" s="4">
        <v>59</v>
      </c>
      <c r="C287" s="8"/>
      <c r="D287" s="8"/>
      <c r="E287" s="8"/>
      <c r="F287" s="8"/>
      <c r="G287" s="5"/>
    </row>
    <row r="288" spans="1:7" ht="15.75" customHeight="1">
      <c r="A288" s="3">
        <v>21837</v>
      </c>
      <c r="B288" s="4">
        <v>41</v>
      </c>
      <c r="C288" s="8"/>
      <c r="D288" s="8"/>
      <c r="E288" s="8"/>
      <c r="F288" s="8"/>
      <c r="G288" s="5"/>
    </row>
    <row r="289" spans="1:7" ht="15.75" customHeight="1">
      <c r="A289" s="3">
        <v>21838</v>
      </c>
      <c r="B289" s="4">
        <v>42</v>
      </c>
      <c r="C289" s="8"/>
      <c r="D289" s="8"/>
      <c r="E289" s="8"/>
      <c r="F289" s="8"/>
      <c r="G289" s="5"/>
    </row>
    <row r="290" spans="1:7" ht="15.75" customHeight="1">
      <c r="A290" s="3">
        <v>21839</v>
      </c>
      <c r="B290" s="4">
        <v>51</v>
      </c>
      <c r="C290" s="8"/>
      <c r="D290" s="8"/>
      <c r="E290" s="8"/>
      <c r="F290" s="8"/>
      <c r="G290" s="5"/>
    </row>
    <row r="291" spans="1:7" ht="15.75" customHeight="1">
      <c r="A291" s="3">
        <v>21840</v>
      </c>
      <c r="B291" s="4">
        <v>49</v>
      </c>
      <c r="C291" s="8"/>
      <c r="D291" s="8"/>
      <c r="E291" s="8"/>
      <c r="F291" s="8"/>
      <c r="G291" s="5"/>
    </row>
    <row r="292" spans="1:7" ht="15.75" customHeight="1">
      <c r="A292" s="3">
        <v>21841</v>
      </c>
      <c r="B292" s="4">
        <v>45</v>
      </c>
      <c r="C292" s="8"/>
      <c r="D292" s="8"/>
      <c r="E292" s="8"/>
      <c r="F292" s="8"/>
      <c r="G292" s="5"/>
    </row>
    <row r="293" spans="1:7" ht="15.75" customHeight="1">
      <c r="A293" s="3">
        <v>21842</v>
      </c>
      <c r="B293" s="4">
        <v>43</v>
      </c>
      <c r="C293" s="8"/>
      <c r="D293" s="8"/>
      <c r="E293" s="8"/>
      <c r="F293" s="8"/>
      <c r="G293" s="5"/>
    </row>
    <row r="294" spans="1:7" ht="15.75" customHeight="1">
      <c r="A294" s="3">
        <v>21843</v>
      </c>
      <c r="B294" s="4">
        <v>42</v>
      </c>
      <c r="C294" s="8"/>
      <c r="D294" s="8"/>
      <c r="E294" s="8"/>
      <c r="F294" s="8"/>
      <c r="G294" s="5"/>
    </row>
    <row r="295" spans="1:7" ht="15.75" customHeight="1">
      <c r="A295" s="3">
        <v>21844</v>
      </c>
      <c r="B295" s="4">
        <v>38</v>
      </c>
      <c r="C295" s="8"/>
      <c r="D295" s="8"/>
      <c r="E295" s="8"/>
      <c r="F295" s="8"/>
      <c r="G295" s="5"/>
    </row>
    <row r="296" spans="1:7" ht="15.75" customHeight="1">
      <c r="A296" s="3">
        <v>21845</v>
      </c>
      <c r="B296" s="4">
        <v>47</v>
      </c>
      <c r="C296" s="8"/>
      <c r="D296" s="8"/>
      <c r="E296" s="8"/>
      <c r="F296" s="8"/>
      <c r="G296" s="5"/>
    </row>
    <row r="297" spans="1:7" ht="15.75" customHeight="1">
      <c r="A297" s="3">
        <v>21846</v>
      </c>
      <c r="B297" s="4">
        <v>38</v>
      </c>
      <c r="C297" s="8"/>
      <c r="D297" s="8"/>
      <c r="E297" s="8"/>
      <c r="F297" s="8"/>
      <c r="G297" s="5"/>
    </row>
    <row r="298" spans="1:7" ht="15.75" customHeight="1">
      <c r="A298" s="3">
        <v>21847</v>
      </c>
      <c r="B298" s="4">
        <v>36</v>
      </c>
      <c r="C298" s="8"/>
      <c r="D298" s="8"/>
      <c r="E298" s="8"/>
      <c r="F298" s="8"/>
      <c r="G298" s="5"/>
    </row>
    <row r="299" spans="1:7" ht="15.75" customHeight="1">
      <c r="A299" s="3">
        <v>21848</v>
      </c>
      <c r="B299" s="4">
        <v>42</v>
      </c>
      <c r="C299" s="8"/>
      <c r="D299" s="8"/>
      <c r="E299" s="8"/>
      <c r="F299" s="8"/>
      <c r="G299" s="5"/>
    </row>
    <row r="300" spans="1:7" ht="15.75" customHeight="1">
      <c r="A300" s="3">
        <v>21849</v>
      </c>
      <c r="B300" s="4">
        <v>35</v>
      </c>
      <c r="C300" s="8"/>
      <c r="D300" s="8"/>
      <c r="E300" s="8"/>
      <c r="F300" s="8"/>
      <c r="G300" s="5"/>
    </row>
    <row r="301" spans="1:7" ht="15.75" customHeight="1">
      <c r="A301" s="3">
        <v>21850</v>
      </c>
      <c r="B301" s="4">
        <v>28</v>
      </c>
      <c r="C301" s="8"/>
      <c r="D301" s="8"/>
      <c r="E301" s="8"/>
      <c r="F301" s="8"/>
      <c r="G301" s="5"/>
    </row>
    <row r="302" spans="1:7" ht="15.75" customHeight="1">
      <c r="A302" s="3">
        <v>21851</v>
      </c>
      <c r="B302" s="4">
        <v>44</v>
      </c>
      <c r="C302" s="8"/>
      <c r="D302" s="8"/>
      <c r="E302" s="8"/>
      <c r="F302" s="8"/>
      <c r="G302" s="5"/>
    </row>
    <row r="303" spans="1:7" ht="15.75" customHeight="1">
      <c r="A303" s="3">
        <v>21852</v>
      </c>
      <c r="B303" s="4">
        <v>36</v>
      </c>
      <c r="C303" s="8"/>
      <c r="D303" s="8"/>
      <c r="E303" s="8"/>
      <c r="F303" s="8"/>
      <c r="G303" s="5"/>
    </row>
    <row r="304" spans="1:7" ht="15.75" customHeight="1">
      <c r="A304" s="3">
        <v>21853</v>
      </c>
      <c r="B304" s="4">
        <v>45</v>
      </c>
      <c r="C304" s="8"/>
      <c r="D304" s="8"/>
      <c r="E304" s="8"/>
      <c r="F304" s="8"/>
      <c r="G304" s="5"/>
    </row>
    <row r="305" spans="1:7" ht="15.75" customHeight="1">
      <c r="A305" s="3">
        <v>21854</v>
      </c>
      <c r="B305" s="4">
        <v>46</v>
      </c>
      <c r="C305" s="8"/>
      <c r="D305" s="8"/>
      <c r="E305" s="8"/>
      <c r="F305" s="8"/>
      <c r="G305" s="5"/>
    </row>
    <row r="306" spans="1:7" ht="15.75" customHeight="1">
      <c r="A306" s="3">
        <v>21855</v>
      </c>
      <c r="B306" s="4">
        <v>48</v>
      </c>
      <c r="C306" s="8"/>
      <c r="D306" s="8"/>
      <c r="E306" s="8"/>
      <c r="F306" s="8"/>
      <c r="G306" s="5"/>
    </row>
    <row r="307" spans="1:7" ht="15.75" customHeight="1">
      <c r="A307" s="3">
        <v>21856</v>
      </c>
      <c r="B307" s="4">
        <v>49</v>
      </c>
      <c r="C307" s="8"/>
      <c r="D307" s="8"/>
      <c r="E307" s="8"/>
      <c r="F307" s="8"/>
      <c r="G307" s="5"/>
    </row>
    <row r="308" spans="1:7" ht="15.75" customHeight="1">
      <c r="A308" s="3">
        <v>21857</v>
      </c>
      <c r="B308" s="4">
        <v>43</v>
      </c>
      <c r="C308" s="8"/>
      <c r="D308" s="8"/>
      <c r="E308" s="8"/>
      <c r="F308" s="8"/>
      <c r="G308" s="5"/>
    </row>
    <row r="309" spans="1:7" ht="15.75" customHeight="1">
      <c r="A309" s="3">
        <v>21858</v>
      </c>
      <c r="B309" s="4">
        <v>42</v>
      </c>
      <c r="C309" s="8"/>
      <c r="D309" s="8"/>
      <c r="E309" s="8"/>
      <c r="F309" s="8"/>
      <c r="G309" s="5"/>
    </row>
    <row r="310" spans="1:7" ht="15.75" customHeight="1">
      <c r="A310" s="3">
        <v>21859</v>
      </c>
      <c r="B310" s="4">
        <v>59</v>
      </c>
      <c r="C310" s="8"/>
      <c r="D310" s="8"/>
      <c r="E310" s="8"/>
      <c r="F310" s="8"/>
      <c r="G310" s="5"/>
    </row>
    <row r="311" spans="1:7" ht="15.75" customHeight="1">
      <c r="A311" s="3">
        <v>21860</v>
      </c>
      <c r="B311" s="4">
        <v>45</v>
      </c>
      <c r="C311" s="8"/>
      <c r="D311" s="8"/>
      <c r="E311" s="8"/>
      <c r="F311" s="8"/>
      <c r="G311" s="5"/>
    </row>
    <row r="312" spans="1:7" ht="15.75" customHeight="1">
      <c r="A312" s="3">
        <v>21861</v>
      </c>
      <c r="B312" s="4">
        <v>52</v>
      </c>
      <c r="C312" s="8"/>
      <c r="D312" s="8"/>
      <c r="E312" s="8"/>
      <c r="F312" s="8"/>
      <c r="G312" s="5"/>
    </row>
    <row r="313" spans="1:7" ht="15.75" customHeight="1">
      <c r="A313" s="3">
        <v>21862</v>
      </c>
      <c r="B313" s="4">
        <v>46</v>
      </c>
      <c r="C313" s="8"/>
      <c r="D313" s="8"/>
      <c r="E313" s="8"/>
      <c r="F313" s="8"/>
      <c r="G313" s="5"/>
    </row>
    <row r="314" spans="1:7" ht="15.75" customHeight="1">
      <c r="A314" s="3">
        <v>21863</v>
      </c>
      <c r="B314" s="4">
        <v>42</v>
      </c>
      <c r="C314" s="8"/>
      <c r="D314" s="8"/>
      <c r="E314" s="8"/>
      <c r="F314" s="8"/>
      <c r="G314" s="5"/>
    </row>
    <row r="315" spans="1:7" ht="15.75" customHeight="1">
      <c r="A315" s="3">
        <v>21864</v>
      </c>
      <c r="B315" s="4">
        <v>40</v>
      </c>
      <c r="C315" s="8"/>
      <c r="D315" s="8"/>
      <c r="E315" s="8"/>
      <c r="F315" s="8"/>
      <c r="G315" s="5"/>
    </row>
    <row r="316" spans="1:7" ht="15.75" customHeight="1">
      <c r="A316" s="3">
        <v>21865</v>
      </c>
      <c r="B316" s="4">
        <v>40</v>
      </c>
      <c r="C316" s="8"/>
      <c r="D316" s="8"/>
      <c r="E316" s="8"/>
      <c r="F316" s="8"/>
      <c r="G316" s="5"/>
    </row>
    <row r="317" spans="1:7" ht="15.75" customHeight="1">
      <c r="A317" s="3">
        <v>21866</v>
      </c>
      <c r="B317" s="4">
        <v>45</v>
      </c>
      <c r="C317" s="8"/>
      <c r="D317" s="8"/>
      <c r="E317" s="8"/>
      <c r="F317" s="8"/>
      <c r="G317" s="5"/>
    </row>
    <row r="318" spans="1:7" ht="15.75" customHeight="1">
      <c r="A318" s="3">
        <v>21867</v>
      </c>
      <c r="B318" s="4">
        <v>35</v>
      </c>
      <c r="C318" s="8"/>
      <c r="D318" s="8"/>
      <c r="E318" s="8"/>
      <c r="F318" s="8"/>
      <c r="G318" s="5"/>
    </row>
    <row r="319" spans="1:7" ht="15.75" customHeight="1">
      <c r="A319" s="3">
        <v>21868</v>
      </c>
      <c r="B319" s="4">
        <v>35</v>
      </c>
      <c r="C319" s="8"/>
      <c r="D319" s="8"/>
      <c r="E319" s="8"/>
      <c r="F319" s="8"/>
      <c r="G319" s="5"/>
    </row>
    <row r="320" spans="1:7" ht="15.75" customHeight="1">
      <c r="A320" s="3">
        <v>21869</v>
      </c>
      <c r="B320" s="4">
        <v>40</v>
      </c>
      <c r="C320" s="8"/>
      <c r="D320" s="8"/>
      <c r="E320" s="8"/>
      <c r="F320" s="8"/>
      <c r="G320" s="5"/>
    </row>
    <row r="321" spans="1:7" ht="15.75" customHeight="1">
      <c r="A321" s="3">
        <v>21870</v>
      </c>
      <c r="B321" s="4">
        <v>39</v>
      </c>
      <c r="C321" s="8"/>
      <c r="D321" s="8"/>
      <c r="E321" s="8"/>
      <c r="F321" s="8"/>
      <c r="G321" s="5"/>
    </row>
    <row r="322" spans="1:7" ht="15.75" customHeight="1">
      <c r="A322" s="3">
        <v>21871</v>
      </c>
      <c r="B322" s="4">
        <v>33</v>
      </c>
      <c r="C322" s="8"/>
      <c r="D322" s="8"/>
      <c r="E322" s="8"/>
      <c r="F322" s="8"/>
      <c r="G322" s="5"/>
    </row>
    <row r="323" spans="1:7" ht="15.75" customHeight="1">
      <c r="A323" s="3">
        <v>21872</v>
      </c>
      <c r="B323" s="4">
        <v>42</v>
      </c>
      <c r="C323" s="8"/>
      <c r="D323" s="8"/>
      <c r="E323" s="8"/>
      <c r="F323" s="8"/>
      <c r="G323" s="5"/>
    </row>
    <row r="324" spans="1:7" ht="15.75" customHeight="1">
      <c r="A324" s="3">
        <v>21873</v>
      </c>
      <c r="B324" s="4">
        <v>47</v>
      </c>
      <c r="C324" s="8"/>
      <c r="D324" s="8"/>
      <c r="E324" s="8"/>
      <c r="F324" s="8"/>
      <c r="G324" s="5"/>
    </row>
    <row r="325" spans="1:7" ht="15.75" customHeight="1">
      <c r="A325" s="3">
        <v>21874</v>
      </c>
      <c r="B325" s="4">
        <v>51</v>
      </c>
      <c r="C325" s="8"/>
      <c r="D325" s="8"/>
      <c r="E325" s="8"/>
      <c r="F325" s="8"/>
      <c r="G325" s="5"/>
    </row>
    <row r="326" spans="1:7" ht="15.75" customHeight="1">
      <c r="A326" s="3">
        <v>21875</v>
      </c>
      <c r="B326" s="4">
        <v>44</v>
      </c>
      <c r="C326" s="8"/>
      <c r="D326" s="8"/>
      <c r="E326" s="8"/>
      <c r="F326" s="8"/>
      <c r="G326" s="5"/>
    </row>
    <row r="327" spans="1:7" ht="15.75" customHeight="1">
      <c r="A327" s="3">
        <v>21876</v>
      </c>
      <c r="B327" s="4">
        <v>40</v>
      </c>
      <c r="C327" s="8"/>
      <c r="D327" s="8"/>
      <c r="E327" s="8"/>
      <c r="F327" s="8"/>
      <c r="G327" s="5"/>
    </row>
    <row r="328" spans="1:7" ht="15.75" customHeight="1">
      <c r="A328" s="3">
        <v>21877</v>
      </c>
      <c r="B328" s="4">
        <v>57</v>
      </c>
      <c r="C328" s="8"/>
      <c r="D328" s="8"/>
      <c r="E328" s="8"/>
      <c r="F328" s="8"/>
      <c r="G328" s="5"/>
    </row>
    <row r="329" spans="1:7" ht="15.75" customHeight="1">
      <c r="A329" s="3">
        <v>21878</v>
      </c>
      <c r="B329" s="4">
        <v>49</v>
      </c>
      <c r="C329" s="8"/>
      <c r="D329" s="8"/>
      <c r="E329" s="8"/>
      <c r="F329" s="8"/>
      <c r="G329" s="5"/>
    </row>
    <row r="330" spans="1:7" ht="15.75" customHeight="1">
      <c r="A330" s="3">
        <v>21879</v>
      </c>
      <c r="B330" s="4">
        <v>45</v>
      </c>
      <c r="C330" s="8"/>
      <c r="D330" s="8"/>
      <c r="E330" s="8"/>
      <c r="F330" s="8"/>
      <c r="G330" s="5"/>
    </row>
    <row r="331" spans="1:7" ht="15.75" customHeight="1">
      <c r="A331" s="3">
        <v>21880</v>
      </c>
      <c r="B331" s="4">
        <v>49</v>
      </c>
      <c r="C331" s="8"/>
      <c r="D331" s="8"/>
      <c r="E331" s="8"/>
      <c r="F331" s="8"/>
      <c r="G331" s="5"/>
    </row>
    <row r="332" spans="1:7" ht="15.75" customHeight="1">
      <c r="A332" s="3">
        <v>21881</v>
      </c>
      <c r="B332" s="4">
        <v>51</v>
      </c>
      <c r="C332" s="8"/>
      <c r="D332" s="8"/>
      <c r="E332" s="8"/>
      <c r="F332" s="8"/>
      <c r="G332" s="5"/>
    </row>
    <row r="333" spans="1:7" ht="15.75" customHeight="1">
      <c r="A333" s="3">
        <v>21882</v>
      </c>
      <c r="B333" s="4">
        <v>46</v>
      </c>
      <c r="C333" s="8"/>
      <c r="D333" s="8"/>
      <c r="E333" s="8"/>
      <c r="F333" s="8"/>
      <c r="G333" s="5"/>
    </row>
    <row r="334" spans="1:7" ht="15.75" customHeight="1">
      <c r="A334" s="3">
        <v>21883</v>
      </c>
      <c r="B334" s="4">
        <v>44</v>
      </c>
      <c r="C334" s="8"/>
      <c r="D334" s="8"/>
      <c r="E334" s="8"/>
      <c r="F334" s="8"/>
      <c r="G334" s="5"/>
    </row>
    <row r="335" spans="1:7" ht="15.75" customHeight="1">
      <c r="A335" s="3">
        <v>21884</v>
      </c>
      <c r="B335" s="4">
        <v>52</v>
      </c>
      <c r="C335" s="8"/>
      <c r="D335" s="8"/>
      <c r="E335" s="8"/>
      <c r="F335" s="8"/>
      <c r="G335" s="5"/>
    </row>
    <row r="336" spans="1:7" ht="15.75" customHeight="1">
      <c r="A336" s="3">
        <v>21885</v>
      </c>
      <c r="B336" s="4">
        <v>45</v>
      </c>
      <c r="C336" s="8"/>
      <c r="D336" s="8"/>
      <c r="E336" s="8"/>
      <c r="F336" s="8"/>
      <c r="G336" s="5"/>
    </row>
    <row r="337" spans="1:7" ht="15.75" customHeight="1">
      <c r="A337" s="3">
        <v>21886</v>
      </c>
      <c r="B337" s="4">
        <v>32</v>
      </c>
      <c r="C337" s="8"/>
      <c r="D337" s="8"/>
      <c r="E337" s="8"/>
      <c r="F337" s="8"/>
      <c r="G337" s="5"/>
    </row>
    <row r="338" spans="1:7" ht="15.75" customHeight="1">
      <c r="A338" s="3">
        <v>21887</v>
      </c>
      <c r="B338" s="4">
        <v>46</v>
      </c>
      <c r="C338" s="8"/>
      <c r="D338" s="8"/>
      <c r="E338" s="8"/>
      <c r="F338" s="8"/>
      <c r="G338" s="5"/>
    </row>
    <row r="339" spans="1:7" ht="15.75" customHeight="1">
      <c r="A339" s="3">
        <v>21888</v>
      </c>
      <c r="B339" s="4">
        <v>41</v>
      </c>
      <c r="C339" s="8"/>
      <c r="D339" s="8"/>
      <c r="E339" s="8"/>
      <c r="F339" s="8"/>
      <c r="G339" s="5"/>
    </row>
    <row r="340" spans="1:7" ht="15.75" customHeight="1">
      <c r="A340" s="3">
        <v>21889</v>
      </c>
      <c r="B340" s="4">
        <v>34</v>
      </c>
      <c r="C340" s="8"/>
      <c r="D340" s="8"/>
      <c r="E340" s="8"/>
      <c r="F340" s="8"/>
      <c r="G340" s="5"/>
    </row>
    <row r="341" spans="1:7" ht="15.75" customHeight="1">
      <c r="A341" s="3">
        <v>21890</v>
      </c>
      <c r="B341" s="4">
        <v>33</v>
      </c>
      <c r="C341" s="8"/>
      <c r="D341" s="8"/>
      <c r="E341" s="8"/>
      <c r="F341" s="8"/>
      <c r="G341" s="5"/>
    </row>
    <row r="342" spans="1:7" ht="15.75" customHeight="1">
      <c r="A342" s="3">
        <v>21891</v>
      </c>
      <c r="B342" s="4">
        <v>36</v>
      </c>
      <c r="C342" s="8"/>
      <c r="D342" s="8"/>
      <c r="E342" s="8"/>
      <c r="F342" s="8"/>
      <c r="G342" s="5"/>
    </row>
    <row r="343" spans="1:7" ht="15.75" customHeight="1">
      <c r="A343" s="3">
        <v>21892</v>
      </c>
      <c r="B343" s="4">
        <v>49</v>
      </c>
      <c r="C343" s="8"/>
      <c r="D343" s="8"/>
      <c r="E343" s="8"/>
      <c r="F343" s="8"/>
      <c r="G343" s="5"/>
    </row>
    <row r="344" spans="1:7" ht="15.75" customHeight="1">
      <c r="A344" s="3">
        <v>21893</v>
      </c>
      <c r="B344" s="4">
        <v>43</v>
      </c>
      <c r="C344" s="8"/>
      <c r="D344" s="8"/>
      <c r="E344" s="8"/>
      <c r="F344" s="8"/>
      <c r="G344" s="5"/>
    </row>
    <row r="345" spans="1:7" ht="15.75" customHeight="1">
      <c r="A345" s="3">
        <v>21894</v>
      </c>
      <c r="B345" s="4">
        <v>43</v>
      </c>
      <c r="C345" s="8"/>
      <c r="D345" s="8"/>
      <c r="E345" s="8"/>
      <c r="F345" s="8"/>
      <c r="G345" s="5"/>
    </row>
    <row r="346" spans="1:7" ht="15.75" customHeight="1">
      <c r="A346" s="3">
        <v>21895</v>
      </c>
      <c r="B346" s="4">
        <v>34</v>
      </c>
      <c r="C346" s="8"/>
      <c r="D346" s="8"/>
      <c r="E346" s="8"/>
      <c r="F346" s="8"/>
      <c r="G346" s="5"/>
    </row>
    <row r="347" spans="1:7" ht="15.75" customHeight="1">
      <c r="A347" s="3">
        <v>21896</v>
      </c>
      <c r="B347" s="4">
        <v>39</v>
      </c>
      <c r="C347" s="8"/>
      <c r="D347" s="8"/>
      <c r="E347" s="8"/>
      <c r="F347" s="8"/>
      <c r="G347" s="5"/>
    </row>
    <row r="348" spans="1:7" ht="15.75" customHeight="1">
      <c r="A348" s="3">
        <v>21897</v>
      </c>
      <c r="B348" s="4">
        <v>35</v>
      </c>
      <c r="C348" s="8"/>
      <c r="D348" s="8"/>
      <c r="E348" s="8"/>
      <c r="F348" s="8"/>
      <c r="G348" s="5"/>
    </row>
    <row r="349" spans="1:7" ht="15.75" customHeight="1">
      <c r="A349" s="3">
        <v>21898</v>
      </c>
      <c r="B349" s="4">
        <v>52</v>
      </c>
      <c r="C349" s="8"/>
      <c r="D349" s="8"/>
      <c r="E349" s="8"/>
      <c r="F349" s="8"/>
      <c r="G349" s="5"/>
    </row>
    <row r="350" spans="1:7" ht="15.75" customHeight="1">
      <c r="A350" s="3">
        <v>21899</v>
      </c>
      <c r="B350" s="4">
        <v>47</v>
      </c>
      <c r="C350" s="8"/>
      <c r="D350" s="8"/>
      <c r="E350" s="8"/>
      <c r="F350" s="8"/>
      <c r="G350" s="5"/>
    </row>
    <row r="351" spans="1:7" ht="15.75" customHeight="1">
      <c r="A351" s="3">
        <v>21900</v>
      </c>
      <c r="B351" s="4">
        <v>52</v>
      </c>
      <c r="C351" s="8"/>
      <c r="D351" s="8"/>
      <c r="E351" s="8"/>
      <c r="F351" s="8"/>
      <c r="G351" s="5"/>
    </row>
    <row r="352" spans="1:7" ht="15.75" customHeight="1">
      <c r="A352" s="3">
        <v>21901</v>
      </c>
      <c r="B352" s="4">
        <v>39</v>
      </c>
      <c r="C352" s="8"/>
      <c r="D352" s="8"/>
      <c r="E352" s="8"/>
      <c r="F352" s="8"/>
      <c r="G352" s="5"/>
    </row>
    <row r="353" spans="1:7" ht="15.75" customHeight="1">
      <c r="A353" s="3">
        <v>21902</v>
      </c>
      <c r="B353" s="4">
        <v>40</v>
      </c>
      <c r="C353" s="8"/>
      <c r="D353" s="8"/>
      <c r="E353" s="8"/>
      <c r="F353" s="8"/>
      <c r="G353" s="5"/>
    </row>
    <row r="354" spans="1:7" ht="15.75" customHeight="1">
      <c r="A354" s="3">
        <v>21903</v>
      </c>
      <c r="B354" s="4">
        <v>42</v>
      </c>
      <c r="C354" s="8"/>
      <c r="D354" s="8"/>
      <c r="E354" s="8"/>
      <c r="F354" s="8"/>
      <c r="G354" s="5"/>
    </row>
    <row r="355" spans="1:7" ht="15.75" customHeight="1">
      <c r="A355" s="3">
        <v>21904</v>
      </c>
      <c r="B355" s="4">
        <v>42</v>
      </c>
      <c r="C355" s="8"/>
      <c r="D355" s="8"/>
      <c r="E355" s="8"/>
      <c r="F355" s="8"/>
      <c r="G355" s="5"/>
    </row>
    <row r="356" spans="1:7" ht="15.75" customHeight="1">
      <c r="A356" s="3">
        <v>21905</v>
      </c>
      <c r="B356" s="4">
        <v>53</v>
      </c>
      <c r="C356" s="8"/>
      <c r="D356" s="8"/>
      <c r="E356" s="8"/>
      <c r="F356" s="8"/>
      <c r="G356" s="5"/>
    </row>
    <row r="357" spans="1:7" ht="15.75" customHeight="1">
      <c r="A357" s="3">
        <v>21906</v>
      </c>
      <c r="B357" s="4">
        <v>39</v>
      </c>
      <c r="C357" s="8"/>
      <c r="D357" s="8"/>
      <c r="E357" s="8"/>
      <c r="F357" s="8"/>
      <c r="G357" s="5"/>
    </row>
    <row r="358" spans="1:7" ht="15.75" customHeight="1">
      <c r="A358" s="3">
        <v>21907</v>
      </c>
      <c r="B358" s="4">
        <v>40</v>
      </c>
      <c r="C358" s="8"/>
      <c r="D358" s="8"/>
      <c r="E358" s="8"/>
      <c r="F358" s="8"/>
      <c r="G358" s="5"/>
    </row>
    <row r="359" spans="1:7" ht="15.75" customHeight="1">
      <c r="A359" s="3">
        <v>21908</v>
      </c>
      <c r="B359" s="4">
        <v>38</v>
      </c>
      <c r="C359" s="8"/>
      <c r="D359" s="8"/>
      <c r="E359" s="8"/>
      <c r="F359" s="8"/>
      <c r="G359" s="5"/>
    </row>
    <row r="360" spans="1:7" ht="15.75" customHeight="1">
      <c r="A360" s="3">
        <v>21909</v>
      </c>
      <c r="B360" s="4">
        <v>44</v>
      </c>
      <c r="C360" s="8"/>
      <c r="D360" s="8"/>
      <c r="E360" s="8"/>
      <c r="F360" s="8"/>
      <c r="G360" s="5"/>
    </row>
    <row r="361" spans="1:7" ht="15.75" customHeight="1">
      <c r="A361" s="3">
        <v>21910</v>
      </c>
      <c r="B361" s="4">
        <v>34</v>
      </c>
      <c r="C361" s="8"/>
      <c r="D361" s="8"/>
      <c r="E361" s="8"/>
      <c r="F361" s="8"/>
      <c r="G361" s="5"/>
    </row>
    <row r="362" spans="1:7" ht="15.75" customHeight="1">
      <c r="A362" s="3">
        <v>21911</v>
      </c>
      <c r="B362" s="4">
        <v>37</v>
      </c>
      <c r="C362" s="8"/>
      <c r="D362" s="8"/>
      <c r="E362" s="8"/>
      <c r="F362" s="8"/>
      <c r="G362" s="5"/>
    </row>
    <row r="363" spans="1:7" ht="15.75" customHeight="1">
      <c r="A363" s="3">
        <v>21912</v>
      </c>
      <c r="B363" s="4">
        <v>52</v>
      </c>
      <c r="C363" s="8"/>
      <c r="D363" s="8"/>
      <c r="E363" s="8"/>
      <c r="F363" s="8"/>
      <c r="G363" s="5"/>
    </row>
    <row r="364" spans="1:7" ht="15.75" customHeight="1">
      <c r="A364" s="3">
        <v>21913</v>
      </c>
      <c r="B364" s="4">
        <v>48</v>
      </c>
      <c r="C364" s="8"/>
      <c r="D364" s="8"/>
      <c r="E364" s="8"/>
      <c r="F364" s="8"/>
      <c r="G364" s="5"/>
    </row>
    <row r="365" spans="1:7" ht="15.75" customHeight="1">
      <c r="A365" s="3">
        <v>21914</v>
      </c>
      <c r="B365" s="4">
        <v>55</v>
      </c>
      <c r="C365" s="8"/>
      <c r="D365" s="8"/>
      <c r="E365" s="8"/>
      <c r="F365" s="8"/>
      <c r="G365" s="5"/>
    </row>
    <row r="366" spans="1:7" ht="15.75" customHeight="1">
      <c r="A366" s="3">
        <v>21915</v>
      </c>
      <c r="B366" s="4">
        <v>50</v>
      </c>
      <c r="C366" s="8"/>
      <c r="D366" s="8"/>
      <c r="E366" s="8"/>
      <c r="F366" s="8"/>
      <c r="G366" s="5"/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G1000" xr:uid="{00000000-0001-0000-0100-000000000000}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921E-1C7D-4D5A-BD50-604AEF65CA0F}">
  <dimension ref="A1:H458"/>
  <sheetViews>
    <sheetView zoomScale="40" zoomScaleNormal="40" workbookViewId="0">
      <selection activeCell="H43" sqref="H43"/>
    </sheetView>
  </sheetViews>
  <sheetFormatPr defaultRowHeight="15.75"/>
  <cols>
    <col min="1" max="1" width="13.3125" customWidth="1"/>
    <col min="2" max="2" width="11.1875" customWidth="1"/>
    <col min="3" max="3" width="19.4375" customWidth="1"/>
    <col min="4" max="5" width="32.125" customWidth="1"/>
    <col min="7" max="7" width="9.0625" customWidth="1"/>
    <col min="8" max="8" width="7.1875" customWidth="1"/>
  </cols>
  <sheetData>
    <row r="1" spans="1:8">
      <c r="A1" t="s">
        <v>0</v>
      </c>
      <c r="B1" t="s">
        <v>1</v>
      </c>
      <c r="C1" t="s">
        <v>39</v>
      </c>
      <c r="D1" t="s">
        <v>40</v>
      </c>
      <c r="E1" t="s">
        <v>41</v>
      </c>
      <c r="G1" t="s">
        <v>42</v>
      </c>
      <c r="H1" t="s">
        <v>43</v>
      </c>
    </row>
    <row r="2" spans="1:8">
      <c r="A2" s="24">
        <v>21551</v>
      </c>
      <c r="B2">
        <v>35</v>
      </c>
      <c r="G2" t="s">
        <v>44</v>
      </c>
      <c r="H2" s="26">
        <f>_xlfn.FORECAST.ETS.STAT($B$2:$B$366,$A$2:$A$366,1,1,1)</f>
        <v>0.251</v>
      </c>
    </row>
    <row r="3" spans="1:8">
      <c r="A3" s="24">
        <v>21552</v>
      </c>
      <c r="B3">
        <v>32</v>
      </c>
      <c r="G3" t="s">
        <v>45</v>
      </c>
      <c r="H3" s="26">
        <f>_xlfn.FORECAST.ETS.STAT($B$2:$B$366,$A$2:$A$366,2,1,1)</f>
        <v>1E-3</v>
      </c>
    </row>
    <row r="4" spans="1:8">
      <c r="A4" s="24">
        <v>21553</v>
      </c>
      <c r="B4">
        <v>30</v>
      </c>
      <c r="G4" t="s">
        <v>46</v>
      </c>
      <c r="H4" s="26">
        <f>_xlfn.FORECAST.ETS.STAT($B$2:$B$366,$A$2:$A$366,3,1,1)</f>
        <v>0.25</v>
      </c>
    </row>
    <row r="5" spans="1:8">
      <c r="A5" s="24">
        <v>21554</v>
      </c>
      <c r="B5">
        <v>31</v>
      </c>
      <c r="G5" t="s">
        <v>47</v>
      </c>
      <c r="H5" s="26">
        <f>_xlfn.FORECAST.ETS.STAT($B$2:$B$366,$A$2:$A$366,4,1,1)</f>
        <v>0.75785496578187039</v>
      </c>
    </row>
    <row r="6" spans="1:8">
      <c r="A6" s="24">
        <v>21555</v>
      </c>
      <c r="B6">
        <v>44</v>
      </c>
      <c r="G6" t="s">
        <v>48</v>
      </c>
      <c r="H6" s="26">
        <f>_xlfn.FORECAST.ETS.STAT($B$2:$B$366,$A$2:$A$366,5,1,1)</f>
        <v>0.13355070343198427</v>
      </c>
    </row>
    <row r="7" spans="1:8">
      <c r="A7" s="24">
        <v>21556</v>
      </c>
      <c r="B7">
        <v>29</v>
      </c>
      <c r="G7" t="s">
        <v>7</v>
      </c>
      <c r="H7" s="26">
        <f>_xlfn.FORECAST.ETS.STAT($B$2:$B$366,$A$2:$A$366,6,1,1)</f>
        <v>5.7138618382316961</v>
      </c>
    </row>
    <row r="8" spans="1:8">
      <c r="A8" s="24">
        <v>21557</v>
      </c>
      <c r="B8">
        <v>45</v>
      </c>
      <c r="G8" t="s">
        <v>49</v>
      </c>
      <c r="H8" s="26">
        <f>_xlfn.FORECAST.ETS.STAT($B$2:$B$366,$A$2:$A$366,7,1,1)</f>
        <v>6.8685739669950827</v>
      </c>
    </row>
    <row r="9" spans="1:8">
      <c r="A9" s="24">
        <v>21558</v>
      </c>
      <c r="B9">
        <v>43</v>
      </c>
    </row>
    <row r="10" spans="1:8">
      <c r="A10" s="24">
        <v>21559</v>
      </c>
      <c r="B10">
        <v>38</v>
      </c>
    </row>
    <row r="11" spans="1:8">
      <c r="A11" s="24">
        <v>21560</v>
      </c>
      <c r="B11">
        <v>27</v>
      </c>
    </row>
    <row r="12" spans="1:8">
      <c r="A12" s="24">
        <v>21561</v>
      </c>
      <c r="B12">
        <v>38</v>
      </c>
    </row>
    <row r="13" spans="1:8">
      <c r="A13" s="24">
        <v>21562</v>
      </c>
      <c r="B13">
        <v>33</v>
      </c>
    </row>
    <row r="14" spans="1:8">
      <c r="A14" s="24">
        <v>21563</v>
      </c>
      <c r="B14">
        <v>55</v>
      </c>
    </row>
    <row r="15" spans="1:8">
      <c r="A15" s="24">
        <v>21564</v>
      </c>
      <c r="B15">
        <v>47</v>
      </c>
    </row>
    <row r="16" spans="1:8">
      <c r="A16" s="24">
        <v>21565</v>
      </c>
      <c r="B16">
        <v>45</v>
      </c>
    </row>
    <row r="17" spans="1:2">
      <c r="A17" s="24">
        <v>21566</v>
      </c>
      <c r="B17">
        <v>37</v>
      </c>
    </row>
    <row r="18" spans="1:2">
      <c r="A18" s="24">
        <v>21567</v>
      </c>
      <c r="B18">
        <v>50</v>
      </c>
    </row>
    <row r="19" spans="1:2">
      <c r="A19" s="24">
        <v>21568</v>
      </c>
      <c r="B19">
        <v>43</v>
      </c>
    </row>
    <row r="20" spans="1:2">
      <c r="A20" s="24">
        <v>21569</v>
      </c>
      <c r="B20">
        <v>41</v>
      </c>
    </row>
    <row r="21" spans="1:2">
      <c r="A21" s="24">
        <v>21570</v>
      </c>
      <c r="B21">
        <v>52</v>
      </c>
    </row>
    <row r="22" spans="1:2">
      <c r="A22" s="24">
        <v>21571</v>
      </c>
      <c r="B22">
        <v>34</v>
      </c>
    </row>
    <row r="23" spans="1:2">
      <c r="A23" s="24">
        <v>21572</v>
      </c>
      <c r="B23">
        <v>53</v>
      </c>
    </row>
    <row r="24" spans="1:2">
      <c r="A24" s="24">
        <v>21573</v>
      </c>
      <c r="B24">
        <v>39</v>
      </c>
    </row>
    <row r="25" spans="1:2">
      <c r="A25" s="24">
        <v>21574</v>
      </c>
      <c r="B25">
        <v>32</v>
      </c>
    </row>
    <row r="26" spans="1:2">
      <c r="A26" s="24">
        <v>21575</v>
      </c>
      <c r="B26">
        <v>37</v>
      </c>
    </row>
    <row r="27" spans="1:2">
      <c r="A27" s="24">
        <v>21576</v>
      </c>
      <c r="B27">
        <v>43</v>
      </c>
    </row>
    <row r="28" spans="1:2">
      <c r="A28" s="24">
        <v>21577</v>
      </c>
      <c r="B28">
        <v>39</v>
      </c>
    </row>
    <row r="29" spans="1:2">
      <c r="A29" s="24">
        <v>21578</v>
      </c>
      <c r="B29">
        <v>35</v>
      </c>
    </row>
    <row r="30" spans="1:2">
      <c r="A30" s="24">
        <v>21579</v>
      </c>
      <c r="B30">
        <v>44</v>
      </c>
    </row>
    <row r="31" spans="1:2">
      <c r="A31" s="24">
        <v>21580</v>
      </c>
      <c r="B31">
        <v>38</v>
      </c>
    </row>
    <row r="32" spans="1:2">
      <c r="A32" s="24">
        <v>21581</v>
      </c>
      <c r="B32">
        <v>24</v>
      </c>
    </row>
    <row r="33" spans="1:2">
      <c r="A33" s="24">
        <v>21582</v>
      </c>
      <c r="B33">
        <v>23</v>
      </c>
    </row>
    <row r="34" spans="1:2">
      <c r="A34" s="24">
        <v>21583</v>
      </c>
      <c r="B34">
        <v>31</v>
      </c>
    </row>
    <row r="35" spans="1:2">
      <c r="A35" s="24">
        <v>21584</v>
      </c>
      <c r="B35">
        <v>44</v>
      </c>
    </row>
    <row r="36" spans="1:2">
      <c r="A36" s="24">
        <v>21585</v>
      </c>
      <c r="B36">
        <v>38</v>
      </c>
    </row>
    <row r="37" spans="1:2">
      <c r="A37" s="24">
        <v>21586</v>
      </c>
      <c r="B37">
        <v>50</v>
      </c>
    </row>
    <row r="38" spans="1:2">
      <c r="A38" s="24">
        <v>21587</v>
      </c>
      <c r="B38">
        <v>38</v>
      </c>
    </row>
    <row r="39" spans="1:2">
      <c r="A39" s="24">
        <v>21588</v>
      </c>
      <c r="B39">
        <v>51</v>
      </c>
    </row>
    <row r="40" spans="1:2">
      <c r="A40" s="24">
        <v>21589</v>
      </c>
      <c r="B40">
        <v>31</v>
      </c>
    </row>
    <row r="41" spans="1:2">
      <c r="A41" s="24">
        <v>21590</v>
      </c>
      <c r="B41">
        <v>31</v>
      </c>
    </row>
    <row r="42" spans="1:2">
      <c r="A42" s="24">
        <v>21591</v>
      </c>
      <c r="B42">
        <v>51</v>
      </c>
    </row>
    <row r="43" spans="1:2">
      <c r="A43" s="24">
        <v>21592</v>
      </c>
      <c r="B43">
        <v>36</v>
      </c>
    </row>
    <row r="44" spans="1:2">
      <c r="A44" s="24">
        <v>21593</v>
      </c>
      <c r="B44">
        <v>45</v>
      </c>
    </row>
    <row r="45" spans="1:2">
      <c r="A45" s="24">
        <v>21594</v>
      </c>
      <c r="B45">
        <v>51</v>
      </c>
    </row>
    <row r="46" spans="1:2">
      <c r="A46" s="24">
        <v>21595</v>
      </c>
      <c r="B46">
        <v>34</v>
      </c>
    </row>
    <row r="47" spans="1:2">
      <c r="A47" s="24">
        <v>21596</v>
      </c>
      <c r="B47">
        <v>52</v>
      </c>
    </row>
    <row r="48" spans="1:2">
      <c r="A48" s="24">
        <v>21597</v>
      </c>
      <c r="B48">
        <v>47</v>
      </c>
    </row>
    <row r="49" spans="1:2">
      <c r="A49" s="24">
        <v>21598</v>
      </c>
      <c r="B49">
        <v>45</v>
      </c>
    </row>
    <row r="50" spans="1:2">
      <c r="A50" s="24">
        <v>21599</v>
      </c>
      <c r="B50">
        <v>46</v>
      </c>
    </row>
    <row r="51" spans="1:2">
      <c r="A51" s="24">
        <v>21600</v>
      </c>
      <c r="B51">
        <v>39</v>
      </c>
    </row>
    <row r="52" spans="1:2">
      <c r="A52" s="24">
        <v>21601</v>
      </c>
      <c r="B52">
        <v>48</v>
      </c>
    </row>
    <row r="53" spans="1:2">
      <c r="A53" s="24">
        <v>21602</v>
      </c>
      <c r="B53">
        <v>37</v>
      </c>
    </row>
    <row r="54" spans="1:2">
      <c r="A54" s="24">
        <v>21603</v>
      </c>
      <c r="B54">
        <v>35</v>
      </c>
    </row>
    <row r="55" spans="1:2">
      <c r="A55" s="24">
        <v>21604</v>
      </c>
      <c r="B55">
        <v>52</v>
      </c>
    </row>
    <row r="56" spans="1:2">
      <c r="A56" s="24">
        <v>21605</v>
      </c>
      <c r="B56">
        <v>42</v>
      </c>
    </row>
    <row r="57" spans="1:2">
      <c r="A57" s="24">
        <v>21606</v>
      </c>
      <c r="B57">
        <v>45</v>
      </c>
    </row>
    <row r="58" spans="1:2">
      <c r="A58" s="24">
        <v>21607</v>
      </c>
      <c r="B58">
        <v>39</v>
      </c>
    </row>
    <row r="59" spans="1:2">
      <c r="A59" s="24">
        <v>21608</v>
      </c>
      <c r="B59">
        <v>37</v>
      </c>
    </row>
    <row r="60" spans="1:2">
      <c r="A60" s="24">
        <v>21609</v>
      </c>
      <c r="B60">
        <v>30</v>
      </c>
    </row>
    <row r="61" spans="1:2">
      <c r="A61" s="24">
        <v>21610</v>
      </c>
      <c r="B61">
        <v>35</v>
      </c>
    </row>
    <row r="62" spans="1:2">
      <c r="A62" s="24">
        <v>21611</v>
      </c>
      <c r="B62">
        <v>28</v>
      </c>
    </row>
    <row r="63" spans="1:2">
      <c r="A63" s="24">
        <v>21612</v>
      </c>
      <c r="B63">
        <v>45</v>
      </c>
    </row>
    <row r="64" spans="1:2">
      <c r="A64" s="24">
        <v>21613</v>
      </c>
      <c r="B64">
        <v>34</v>
      </c>
    </row>
    <row r="65" spans="1:2">
      <c r="A65" s="24">
        <v>21614</v>
      </c>
      <c r="B65">
        <v>36</v>
      </c>
    </row>
    <row r="66" spans="1:2">
      <c r="A66" s="24">
        <v>21615</v>
      </c>
      <c r="B66">
        <v>50</v>
      </c>
    </row>
    <row r="67" spans="1:2">
      <c r="A67" s="24">
        <v>21616</v>
      </c>
      <c r="B67">
        <v>44</v>
      </c>
    </row>
    <row r="68" spans="1:2">
      <c r="A68" s="24">
        <v>21617</v>
      </c>
      <c r="B68">
        <v>39</v>
      </c>
    </row>
    <row r="69" spans="1:2">
      <c r="A69" s="24">
        <v>21618</v>
      </c>
      <c r="B69">
        <v>32</v>
      </c>
    </row>
    <row r="70" spans="1:2">
      <c r="A70" s="24">
        <v>21619</v>
      </c>
      <c r="B70">
        <v>39</v>
      </c>
    </row>
    <row r="71" spans="1:2">
      <c r="A71" s="24">
        <v>21620</v>
      </c>
      <c r="B71">
        <v>45</v>
      </c>
    </row>
    <row r="72" spans="1:2">
      <c r="A72" s="24">
        <v>21621</v>
      </c>
      <c r="B72">
        <v>43</v>
      </c>
    </row>
    <row r="73" spans="1:2">
      <c r="A73" s="24">
        <v>21622</v>
      </c>
      <c r="B73">
        <v>39</v>
      </c>
    </row>
    <row r="74" spans="1:2">
      <c r="A74" s="24">
        <v>21623</v>
      </c>
      <c r="B74">
        <v>31</v>
      </c>
    </row>
    <row r="75" spans="1:2">
      <c r="A75" s="24">
        <v>21624</v>
      </c>
      <c r="B75">
        <v>27</v>
      </c>
    </row>
    <row r="76" spans="1:2">
      <c r="A76" s="24">
        <v>21625</v>
      </c>
      <c r="B76">
        <v>30</v>
      </c>
    </row>
    <row r="77" spans="1:2">
      <c r="A77" s="24">
        <v>21626</v>
      </c>
      <c r="B77">
        <v>42</v>
      </c>
    </row>
    <row r="78" spans="1:2">
      <c r="A78" s="24">
        <v>21627</v>
      </c>
      <c r="B78">
        <v>46</v>
      </c>
    </row>
    <row r="79" spans="1:2">
      <c r="A79" s="24">
        <v>21628</v>
      </c>
      <c r="B79">
        <v>41</v>
      </c>
    </row>
    <row r="80" spans="1:2">
      <c r="A80" s="24">
        <v>21629</v>
      </c>
      <c r="B80">
        <v>36</v>
      </c>
    </row>
    <row r="81" spans="1:2">
      <c r="A81" s="24">
        <v>21630</v>
      </c>
      <c r="B81">
        <v>45</v>
      </c>
    </row>
    <row r="82" spans="1:2">
      <c r="A82" s="24">
        <v>21631</v>
      </c>
      <c r="B82">
        <v>46</v>
      </c>
    </row>
    <row r="83" spans="1:2">
      <c r="A83" s="24">
        <v>21632</v>
      </c>
      <c r="B83">
        <v>43</v>
      </c>
    </row>
    <row r="84" spans="1:2">
      <c r="A84" s="24">
        <v>21633</v>
      </c>
      <c r="B84">
        <v>38</v>
      </c>
    </row>
    <row r="85" spans="1:2">
      <c r="A85" s="24">
        <v>21634</v>
      </c>
      <c r="B85">
        <v>34</v>
      </c>
    </row>
    <row r="86" spans="1:2">
      <c r="A86" s="24">
        <v>21635</v>
      </c>
      <c r="B86">
        <v>35</v>
      </c>
    </row>
    <row r="87" spans="1:2">
      <c r="A87" s="24">
        <v>21636</v>
      </c>
      <c r="B87">
        <v>56</v>
      </c>
    </row>
    <row r="88" spans="1:2">
      <c r="A88" s="24">
        <v>21637</v>
      </c>
      <c r="B88">
        <v>36</v>
      </c>
    </row>
    <row r="89" spans="1:2">
      <c r="A89" s="24">
        <v>21638</v>
      </c>
      <c r="B89">
        <v>32</v>
      </c>
    </row>
    <row r="90" spans="1:2">
      <c r="A90" s="24">
        <v>21639</v>
      </c>
      <c r="B90">
        <v>50</v>
      </c>
    </row>
    <row r="91" spans="1:2">
      <c r="A91" s="24">
        <v>21640</v>
      </c>
      <c r="B91">
        <v>41</v>
      </c>
    </row>
    <row r="92" spans="1:2">
      <c r="A92" s="24">
        <v>21641</v>
      </c>
      <c r="B92">
        <v>39</v>
      </c>
    </row>
    <row r="93" spans="1:2">
      <c r="A93" s="24">
        <v>21642</v>
      </c>
      <c r="B93">
        <v>41</v>
      </c>
    </row>
    <row r="94" spans="1:2">
      <c r="A94" s="24">
        <v>21643</v>
      </c>
      <c r="B94">
        <v>47</v>
      </c>
    </row>
    <row r="95" spans="1:2">
      <c r="A95" s="24">
        <v>21644</v>
      </c>
      <c r="B95">
        <v>34</v>
      </c>
    </row>
    <row r="96" spans="1:2">
      <c r="A96" s="24">
        <v>21645</v>
      </c>
      <c r="B96">
        <v>36</v>
      </c>
    </row>
    <row r="97" spans="1:2">
      <c r="A97" s="24">
        <v>21646</v>
      </c>
      <c r="B97">
        <v>33</v>
      </c>
    </row>
    <row r="98" spans="1:2">
      <c r="A98" s="24">
        <v>21647</v>
      </c>
      <c r="B98">
        <v>35</v>
      </c>
    </row>
    <row r="99" spans="1:2">
      <c r="A99" s="24">
        <v>21648</v>
      </c>
      <c r="B99">
        <v>38</v>
      </c>
    </row>
    <row r="100" spans="1:2">
      <c r="A100" s="24">
        <v>21649</v>
      </c>
      <c r="B100">
        <v>38</v>
      </c>
    </row>
    <row r="101" spans="1:2">
      <c r="A101" s="24">
        <v>21650</v>
      </c>
      <c r="B101">
        <v>34</v>
      </c>
    </row>
    <row r="102" spans="1:2">
      <c r="A102" s="24">
        <v>21651</v>
      </c>
      <c r="B102">
        <v>53</v>
      </c>
    </row>
    <row r="103" spans="1:2">
      <c r="A103" s="24">
        <v>21652</v>
      </c>
      <c r="B103">
        <v>34</v>
      </c>
    </row>
    <row r="104" spans="1:2">
      <c r="A104" s="24">
        <v>21653</v>
      </c>
      <c r="B104">
        <v>34</v>
      </c>
    </row>
    <row r="105" spans="1:2">
      <c r="A105" s="24">
        <v>21654</v>
      </c>
      <c r="B105">
        <v>38</v>
      </c>
    </row>
    <row r="106" spans="1:2">
      <c r="A106" s="24">
        <v>21655</v>
      </c>
      <c r="B106">
        <v>35</v>
      </c>
    </row>
    <row r="107" spans="1:2">
      <c r="A107" s="24">
        <v>21656</v>
      </c>
      <c r="B107">
        <v>32</v>
      </c>
    </row>
    <row r="108" spans="1:2">
      <c r="A108" s="24">
        <v>21657</v>
      </c>
      <c r="B108">
        <v>42</v>
      </c>
    </row>
    <row r="109" spans="1:2">
      <c r="A109" s="24">
        <v>21658</v>
      </c>
      <c r="B109">
        <v>34</v>
      </c>
    </row>
    <row r="110" spans="1:2">
      <c r="A110" s="24">
        <v>21659</v>
      </c>
      <c r="B110">
        <v>46</v>
      </c>
    </row>
    <row r="111" spans="1:2">
      <c r="A111" s="24">
        <v>21660</v>
      </c>
      <c r="B111">
        <v>30</v>
      </c>
    </row>
    <row r="112" spans="1:2">
      <c r="A112" s="24">
        <v>21661</v>
      </c>
      <c r="B112">
        <v>46</v>
      </c>
    </row>
    <row r="113" spans="1:2">
      <c r="A113" s="24">
        <v>21662</v>
      </c>
      <c r="B113">
        <v>45</v>
      </c>
    </row>
    <row r="114" spans="1:2">
      <c r="A114" s="24">
        <v>21663</v>
      </c>
      <c r="B114">
        <v>54</v>
      </c>
    </row>
    <row r="115" spans="1:2">
      <c r="A115" s="24">
        <v>21664</v>
      </c>
      <c r="B115">
        <v>34</v>
      </c>
    </row>
    <row r="116" spans="1:2">
      <c r="A116" s="24">
        <v>21665</v>
      </c>
      <c r="B116">
        <v>37</v>
      </c>
    </row>
    <row r="117" spans="1:2">
      <c r="A117" s="24">
        <v>21666</v>
      </c>
      <c r="B117">
        <v>35</v>
      </c>
    </row>
    <row r="118" spans="1:2">
      <c r="A118" s="24">
        <v>21667</v>
      </c>
      <c r="B118">
        <v>40</v>
      </c>
    </row>
    <row r="119" spans="1:2">
      <c r="A119" s="24">
        <v>21668</v>
      </c>
      <c r="B119">
        <v>42</v>
      </c>
    </row>
    <row r="120" spans="1:2">
      <c r="A120" s="24">
        <v>21669</v>
      </c>
      <c r="B120">
        <v>58</v>
      </c>
    </row>
    <row r="121" spans="1:2">
      <c r="A121" s="24">
        <v>21670</v>
      </c>
      <c r="B121">
        <v>51</v>
      </c>
    </row>
    <row r="122" spans="1:2">
      <c r="A122" s="24">
        <v>21671</v>
      </c>
      <c r="B122">
        <v>32</v>
      </c>
    </row>
    <row r="123" spans="1:2">
      <c r="A123" s="24">
        <v>21672</v>
      </c>
      <c r="B123">
        <v>35</v>
      </c>
    </row>
    <row r="124" spans="1:2">
      <c r="A124" s="24">
        <v>21673</v>
      </c>
      <c r="B124">
        <v>38</v>
      </c>
    </row>
    <row r="125" spans="1:2">
      <c r="A125" s="24">
        <v>21674</v>
      </c>
      <c r="B125">
        <v>33</v>
      </c>
    </row>
    <row r="126" spans="1:2">
      <c r="A126" s="24">
        <v>21675</v>
      </c>
      <c r="B126">
        <v>39</v>
      </c>
    </row>
    <row r="127" spans="1:2">
      <c r="A127" s="24">
        <v>21676</v>
      </c>
      <c r="B127">
        <v>47</v>
      </c>
    </row>
    <row r="128" spans="1:2">
      <c r="A128" s="24">
        <v>21677</v>
      </c>
      <c r="B128">
        <v>38</v>
      </c>
    </row>
    <row r="129" spans="1:2">
      <c r="A129" s="24">
        <v>21678</v>
      </c>
      <c r="B129">
        <v>52</v>
      </c>
    </row>
    <row r="130" spans="1:2">
      <c r="A130" s="24">
        <v>21679</v>
      </c>
      <c r="B130">
        <v>30</v>
      </c>
    </row>
    <row r="131" spans="1:2">
      <c r="A131" s="24">
        <v>21680</v>
      </c>
      <c r="B131">
        <v>34</v>
      </c>
    </row>
    <row r="132" spans="1:2">
      <c r="A132" s="24">
        <v>21681</v>
      </c>
      <c r="B132">
        <v>40</v>
      </c>
    </row>
    <row r="133" spans="1:2">
      <c r="A133" s="24">
        <v>21682</v>
      </c>
      <c r="B133">
        <v>35</v>
      </c>
    </row>
    <row r="134" spans="1:2">
      <c r="A134" s="24">
        <v>21683</v>
      </c>
      <c r="B134">
        <v>42</v>
      </c>
    </row>
    <row r="135" spans="1:2">
      <c r="A135" s="24">
        <v>21684</v>
      </c>
      <c r="B135">
        <v>41</v>
      </c>
    </row>
    <row r="136" spans="1:2">
      <c r="A136" s="24">
        <v>21685</v>
      </c>
      <c r="B136">
        <v>42</v>
      </c>
    </row>
    <row r="137" spans="1:2">
      <c r="A137" s="24">
        <v>21686</v>
      </c>
      <c r="B137">
        <v>38</v>
      </c>
    </row>
    <row r="138" spans="1:2">
      <c r="A138" s="24">
        <v>21687</v>
      </c>
      <c r="B138">
        <v>24</v>
      </c>
    </row>
    <row r="139" spans="1:2">
      <c r="A139" s="24">
        <v>21688</v>
      </c>
      <c r="B139">
        <v>34</v>
      </c>
    </row>
    <row r="140" spans="1:2">
      <c r="A140" s="24">
        <v>21689</v>
      </c>
      <c r="B140">
        <v>43</v>
      </c>
    </row>
    <row r="141" spans="1:2">
      <c r="A141" s="24">
        <v>21690</v>
      </c>
      <c r="B141">
        <v>36</v>
      </c>
    </row>
    <row r="142" spans="1:2">
      <c r="A142" s="24">
        <v>21691</v>
      </c>
      <c r="B142">
        <v>55</v>
      </c>
    </row>
    <row r="143" spans="1:2">
      <c r="A143" s="24">
        <v>21692</v>
      </c>
      <c r="B143">
        <v>41</v>
      </c>
    </row>
    <row r="144" spans="1:2">
      <c r="A144" s="24">
        <v>21693</v>
      </c>
      <c r="B144">
        <v>45</v>
      </c>
    </row>
    <row r="145" spans="1:2">
      <c r="A145" s="24">
        <v>21694</v>
      </c>
      <c r="B145">
        <v>41</v>
      </c>
    </row>
    <row r="146" spans="1:2">
      <c r="A146" s="24">
        <v>21695</v>
      </c>
      <c r="B146">
        <v>37</v>
      </c>
    </row>
    <row r="147" spans="1:2">
      <c r="A147" s="24">
        <v>21696</v>
      </c>
      <c r="B147">
        <v>43</v>
      </c>
    </row>
    <row r="148" spans="1:2">
      <c r="A148" s="24">
        <v>21697</v>
      </c>
      <c r="B148">
        <v>39</v>
      </c>
    </row>
    <row r="149" spans="1:2">
      <c r="A149" s="24">
        <v>21698</v>
      </c>
      <c r="B149">
        <v>33</v>
      </c>
    </row>
    <row r="150" spans="1:2">
      <c r="A150" s="24">
        <v>21699</v>
      </c>
      <c r="B150">
        <v>43</v>
      </c>
    </row>
    <row r="151" spans="1:2">
      <c r="A151" s="24">
        <v>21700</v>
      </c>
      <c r="B151">
        <v>40</v>
      </c>
    </row>
    <row r="152" spans="1:2">
      <c r="A152" s="24">
        <v>21701</v>
      </c>
      <c r="B152">
        <v>38</v>
      </c>
    </row>
    <row r="153" spans="1:2">
      <c r="A153" s="24">
        <v>21702</v>
      </c>
      <c r="B153">
        <v>45</v>
      </c>
    </row>
    <row r="154" spans="1:2">
      <c r="A154" s="24">
        <v>21703</v>
      </c>
      <c r="B154">
        <v>46</v>
      </c>
    </row>
    <row r="155" spans="1:2">
      <c r="A155" s="24">
        <v>21704</v>
      </c>
      <c r="B155">
        <v>34</v>
      </c>
    </row>
    <row r="156" spans="1:2">
      <c r="A156" s="24">
        <v>21705</v>
      </c>
      <c r="B156">
        <v>35</v>
      </c>
    </row>
    <row r="157" spans="1:2">
      <c r="A157" s="24">
        <v>21706</v>
      </c>
      <c r="B157">
        <v>48</v>
      </c>
    </row>
    <row r="158" spans="1:2">
      <c r="A158" s="24">
        <v>21707</v>
      </c>
      <c r="B158">
        <v>51</v>
      </c>
    </row>
    <row r="159" spans="1:2">
      <c r="A159" s="24">
        <v>21708</v>
      </c>
      <c r="B159">
        <v>36</v>
      </c>
    </row>
    <row r="160" spans="1:2">
      <c r="A160" s="24">
        <v>21709</v>
      </c>
      <c r="B160">
        <v>33</v>
      </c>
    </row>
    <row r="161" spans="1:2">
      <c r="A161" s="24">
        <v>21710</v>
      </c>
      <c r="B161">
        <v>46</v>
      </c>
    </row>
    <row r="162" spans="1:2">
      <c r="A162" s="24">
        <v>21711</v>
      </c>
      <c r="B162">
        <v>42</v>
      </c>
    </row>
    <row r="163" spans="1:2">
      <c r="A163" s="24">
        <v>21712</v>
      </c>
      <c r="B163">
        <v>48</v>
      </c>
    </row>
    <row r="164" spans="1:2">
      <c r="A164" s="24">
        <v>21713</v>
      </c>
      <c r="B164">
        <v>34</v>
      </c>
    </row>
    <row r="165" spans="1:2">
      <c r="A165" s="24">
        <v>21714</v>
      </c>
      <c r="B165">
        <v>41</v>
      </c>
    </row>
    <row r="166" spans="1:2">
      <c r="A166" s="24">
        <v>21715</v>
      </c>
      <c r="B166">
        <v>35</v>
      </c>
    </row>
    <row r="167" spans="1:2">
      <c r="A167" s="24">
        <v>21716</v>
      </c>
      <c r="B167">
        <v>40</v>
      </c>
    </row>
    <row r="168" spans="1:2">
      <c r="A168" s="24">
        <v>21717</v>
      </c>
      <c r="B168">
        <v>34</v>
      </c>
    </row>
    <row r="169" spans="1:2">
      <c r="A169" s="24">
        <v>21718</v>
      </c>
      <c r="B169">
        <v>30</v>
      </c>
    </row>
    <row r="170" spans="1:2">
      <c r="A170" s="24">
        <v>21719</v>
      </c>
      <c r="B170">
        <v>36</v>
      </c>
    </row>
    <row r="171" spans="1:2">
      <c r="A171" s="24">
        <v>21720</v>
      </c>
      <c r="B171">
        <v>40</v>
      </c>
    </row>
    <row r="172" spans="1:2">
      <c r="A172" s="24">
        <v>21721</v>
      </c>
      <c r="B172">
        <v>39</v>
      </c>
    </row>
    <row r="173" spans="1:2">
      <c r="A173" s="24">
        <v>21722</v>
      </c>
      <c r="B173">
        <v>45</v>
      </c>
    </row>
    <row r="174" spans="1:2">
      <c r="A174" s="24">
        <v>21723</v>
      </c>
      <c r="B174">
        <v>38</v>
      </c>
    </row>
    <row r="175" spans="1:2">
      <c r="A175" s="24">
        <v>21724</v>
      </c>
      <c r="B175">
        <v>47</v>
      </c>
    </row>
    <row r="176" spans="1:2">
      <c r="A176" s="24">
        <v>21725</v>
      </c>
      <c r="B176">
        <v>33</v>
      </c>
    </row>
    <row r="177" spans="1:2">
      <c r="A177" s="24">
        <v>21726</v>
      </c>
      <c r="B177">
        <v>30</v>
      </c>
    </row>
    <row r="178" spans="1:2">
      <c r="A178" s="24">
        <v>21727</v>
      </c>
      <c r="B178">
        <v>42</v>
      </c>
    </row>
    <row r="179" spans="1:2">
      <c r="A179" s="24">
        <v>21728</v>
      </c>
      <c r="B179">
        <v>43</v>
      </c>
    </row>
    <row r="180" spans="1:2">
      <c r="A180" s="24">
        <v>21729</v>
      </c>
      <c r="B180">
        <v>41</v>
      </c>
    </row>
    <row r="181" spans="1:2">
      <c r="A181" s="24">
        <v>21730</v>
      </c>
      <c r="B181">
        <v>41</v>
      </c>
    </row>
    <row r="182" spans="1:2">
      <c r="A182" s="24">
        <v>21731</v>
      </c>
      <c r="B182">
        <v>59</v>
      </c>
    </row>
    <row r="183" spans="1:2">
      <c r="A183" s="24">
        <v>21732</v>
      </c>
      <c r="B183">
        <v>43</v>
      </c>
    </row>
    <row r="184" spans="1:2">
      <c r="A184" s="24">
        <v>21733</v>
      </c>
      <c r="B184">
        <v>45</v>
      </c>
    </row>
    <row r="185" spans="1:2">
      <c r="A185" s="24">
        <v>21734</v>
      </c>
      <c r="B185">
        <v>38</v>
      </c>
    </row>
    <row r="186" spans="1:2">
      <c r="A186" s="24">
        <v>21735</v>
      </c>
      <c r="B186">
        <v>37</v>
      </c>
    </row>
    <row r="187" spans="1:2">
      <c r="A187" s="24">
        <v>21736</v>
      </c>
      <c r="B187">
        <v>45</v>
      </c>
    </row>
    <row r="188" spans="1:2">
      <c r="A188" s="24">
        <v>21737</v>
      </c>
      <c r="B188">
        <v>42</v>
      </c>
    </row>
    <row r="189" spans="1:2">
      <c r="A189" s="24">
        <v>21738</v>
      </c>
      <c r="B189">
        <v>57</v>
      </c>
    </row>
    <row r="190" spans="1:2">
      <c r="A190" s="24">
        <v>21739</v>
      </c>
      <c r="B190">
        <v>46</v>
      </c>
    </row>
    <row r="191" spans="1:2">
      <c r="A191" s="24">
        <v>21740</v>
      </c>
      <c r="B191">
        <v>51</v>
      </c>
    </row>
    <row r="192" spans="1:2">
      <c r="A192" s="24">
        <v>21741</v>
      </c>
      <c r="B192">
        <v>41</v>
      </c>
    </row>
    <row r="193" spans="1:2">
      <c r="A193" s="24">
        <v>21742</v>
      </c>
      <c r="B193">
        <v>47</v>
      </c>
    </row>
    <row r="194" spans="1:2">
      <c r="A194" s="24">
        <v>21743</v>
      </c>
      <c r="B194">
        <v>26</v>
      </c>
    </row>
    <row r="195" spans="1:2">
      <c r="A195" s="24">
        <v>21744</v>
      </c>
      <c r="B195">
        <v>35</v>
      </c>
    </row>
    <row r="196" spans="1:2">
      <c r="A196" s="24">
        <v>21745</v>
      </c>
      <c r="B196">
        <v>44</v>
      </c>
    </row>
    <row r="197" spans="1:2">
      <c r="A197" s="24">
        <v>21746</v>
      </c>
      <c r="B197">
        <v>41</v>
      </c>
    </row>
    <row r="198" spans="1:2">
      <c r="A198" s="24">
        <v>21747</v>
      </c>
      <c r="B198">
        <v>42</v>
      </c>
    </row>
    <row r="199" spans="1:2">
      <c r="A199" s="24">
        <v>21748</v>
      </c>
      <c r="B199">
        <v>36</v>
      </c>
    </row>
    <row r="200" spans="1:2">
      <c r="A200" s="24">
        <v>21749</v>
      </c>
      <c r="B200">
        <v>45</v>
      </c>
    </row>
    <row r="201" spans="1:2">
      <c r="A201" s="24">
        <v>21750</v>
      </c>
      <c r="B201">
        <v>45</v>
      </c>
    </row>
    <row r="202" spans="1:2">
      <c r="A202" s="24">
        <v>21751</v>
      </c>
      <c r="B202">
        <v>45</v>
      </c>
    </row>
    <row r="203" spans="1:2">
      <c r="A203" s="24">
        <v>21752</v>
      </c>
      <c r="B203">
        <v>47</v>
      </c>
    </row>
    <row r="204" spans="1:2">
      <c r="A204" s="24">
        <v>21753</v>
      </c>
      <c r="B204">
        <v>38</v>
      </c>
    </row>
    <row r="205" spans="1:2">
      <c r="A205" s="24">
        <v>21754</v>
      </c>
      <c r="B205">
        <v>42</v>
      </c>
    </row>
    <row r="206" spans="1:2">
      <c r="A206" s="24">
        <v>21755</v>
      </c>
      <c r="B206">
        <v>35</v>
      </c>
    </row>
    <row r="207" spans="1:2">
      <c r="A207" s="24">
        <v>21756</v>
      </c>
      <c r="B207">
        <v>36</v>
      </c>
    </row>
    <row r="208" spans="1:2">
      <c r="A208" s="24">
        <v>21757</v>
      </c>
      <c r="B208">
        <v>39</v>
      </c>
    </row>
    <row r="209" spans="1:2">
      <c r="A209" s="24">
        <v>21758</v>
      </c>
      <c r="B209">
        <v>45</v>
      </c>
    </row>
    <row r="210" spans="1:2">
      <c r="A210" s="24">
        <v>21759</v>
      </c>
      <c r="B210">
        <v>43</v>
      </c>
    </row>
    <row r="211" spans="1:2">
      <c r="A211" s="24">
        <v>21760</v>
      </c>
      <c r="B211">
        <v>47</v>
      </c>
    </row>
    <row r="212" spans="1:2">
      <c r="A212" s="24">
        <v>21761</v>
      </c>
      <c r="B212">
        <v>36</v>
      </c>
    </row>
    <row r="213" spans="1:2">
      <c r="A213" s="24">
        <v>21762</v>
      </c>
      <c r="B213">
        <v>41</v>
      </c>
    </row>
    <row r="214" spans="1:2">
      <c r="A214" s="24">
        <v>21763</v>
      </c>
      <c r="B214">
        <v>50</v>
      </c>
    </row>
    <row r="215" spans="1:2">
      <c r="A215" s="24">
        <v>21764</v>
      </c>
      <c r="B215">
        <v>39</v>
      </c>
    </row>
    <row r="216" spans="1:2">
      <c r="A216" s="24">
        <v>21765</v>
      </c>
      <c r="B216">
        <v>41</v>
      </c>
    </row>
    <row r="217" spans="1:2">
      <c r="A217" s="24">
        <v>21766</v>
      </c>
      <c r="B217">
        <v>46</v>
      </c>
    </row>
    <row r="218" spans="1:2">
      <c r="A218" s="24">
        <v>21767</v>
      </c>
      <c r="B218">
        <v>64</v>
      </c>
    </row>
    <row r="219" spans="1:2">
      <c r="A219" s="24">
        <v>21768</v>
      </c>
      <c r="B219">
        <v>45</v>
      </c>
    </row>
    <row r="220" spans="1:2">
      <c r="A220" s="24">
        <v>21769</v>
      </c>
      <c r="B220">
        <v>34</v>
      </c>
    </row>
    <row r="221" spans="1:2">
      <c r="A221" s="24">
        <v>21770</v>
      </c>
      <c r="B221">
        <v>38</v>
      </c>
    </row>
    <row r="222" spans="1:2">
      <c r="A222" s="24">
        <v>21771</v>
      </c>
      <c r="B222">
        <v>44</v>
      </c>
    </row>
    <row r="223" spans="1:2">
      <c r="A223" s="24">
        <v>21772</v>
      </c>
      <c r="B223">
        <v>48</v>
      </c>
    </row>
    <row r="224" spans="1:2">
      <c r="A224" s="24">
        <v>21773</v>
      </c>
      <c r="B224">
        <v>46</v>
      </c>
    </row>
    <row r="225" spans="1:2">
      <c r="A225" s="24">
        <v>21774</v>
      </c>
      <c r="B225">
        <v>44</v>
      </c>
    </row>
    <row r="226" spans="1:2">
      <c r="A226" s="24">
        <v>21775</v>
      </c>
      <c r="B226">
        <v>37</v>
      </c>
    </row>
    <row r="227" spans="1:2">
      <c r="A227" s="24">
        <v>21776</v>
      </c>
      <c r="B227">
        <v>39</v>
      </c>
    </row>
    <row r="228" spans="1:2">
      <c r="A228" s="24">
        <v>21777</v>
      </c>
      <c r="B228">
        <v>44</v>
      </c>
    </row>
    <row r="229" spans="1:2">
      <c r="A229" s="24">
        <v>21778</v>
      </c>
      <c r="B229">
        <v>45</v>
      </c>
    </row>
    <row r="230" spans="1:2">
      <c r="A230" s="24">
        <v>21779</v>
      </c>
      <c r="B230">
        <v>33</v>
      </c>
    </row>
    <row r="231" spans="1:2">
      <c r="A231" s="24">
        <v>21780</v>
      </c>
      <c r="B231">
        <v>44</v>
      </c>
    </row>
    <row r="232" spans="1:2">
      <c r="A232" s="24">
        <v>21781</v>
      </c>
      <c r="B232">
        <v>38</v>
      </c>
    </row>
    <row r="233" spans="1:2">
      <c r="A233" s="24">
        <v>21782</v>
      </c>
      <c r="B233">
        <v>46</v>
      </c>
    </row>
    <row r="234" spans="1:2">
      <c r="A234" s="24">
        <v>21783</v>
      </c>
      <c r="B234">
        <v>46</v>
      </c>
    </row>
    <row r="235" spans="1:2">
      <c r="A235" s="24">
        <v>21784</v>
      </c>
      <c r="B235">
        <v>40</v>
      </c>
    </row>
    <row r="236" spans="1:2">
      <c r="A236" s="24">
        <v>21785</v>
      </c>
      <c r="B236">
        <v>39</v>
      </c>
    </row>
    <row r="237" spans="1:2">
      <c r="A237" s="24">
        <v>21786</v>
      </c>
      <c r="B237">
        <v>44</v>
      </c>
    </row>
    <row r="238" spans="1:2">
      <c r="A238" s="24">
        <v>21787</v>
      </c>
      <c r="B238">
        <v>48</v>
      </c>
    </row>
    <row r="239" spans="1:2">
      <c r="A239" s="24">
        <v>21788</v>
      </c>
      <c r="B239">
        <v>50</v>
      </c>
    </row>
    <row r="240" spans="1:2">
      <c r="A240" s="24">
        <v>21789</v>
      </c>
      <c r="B240">
        <v>41</v>
      </c>
    </row>
    <row r="241" spans="1:2">
      <c r="A241" s="24">
        <v>21790</v>
      </c>
      <c r="B241">
        <v>42</v>
      </c>
    </row>
    <row r="242" spans="1:2">
      <c r="A242" s="24">
        <v>21791</v>
      </c>
      <c r="B242">
        <v>51</v>
      </c>
    </row>
    <row r="243" spans="1:2">
      <c r="A243" s="24">
        <v>21792</v>
      </c>
      <c r="B243">
        <v>41</v>
      </c>
    </row>
    <row r="244" spans="1:2">
      <c r="A244" s="24">
        <v>21793</v>
      </c>
      <c r="B244">
        <v>44</v>
      </c>
    </row>
    <row r="245" spans="1:2">
      <c r="A245" s="24">
        <v>21794</v>
      </c>
      <c r="B245">
        <v>38</v>
      </c>
    </row>
    <row r="246" spans="1:2">
      <c r="A246" s="24">
        <v>21795</v>
      </c>
      <c r="B246">
        <v>68</v>
      </c>
    </row>
    <row r="247" spans="1:2">
      <c r="A247" s="24">
        <v>21796</v>
      </c>
      <c r="B247">
        <v>40</v>
      </c>
    </row>
    <row r="248" spans="1:2">
      <c r="A248" s="24">
        <v>21797</v>
      </c>
      <c r="B248">
        <v>42</v>
      </c>
    </row>
    <row r="249" spans="1:2">
      <c r="A249" s="24">
        <v>21798</v>
      </c>
      <c r="B249">
        <v>51</v>
      </c>
    </row>
    <row r="250" spans="1:2">
      <c r="A250" s="24">
        <v>21799</v>
      </c>
      <c r="B250">
        <v>44</v>
      </c>
    </row>
    <row r="251" spans="1:2">
      <c r="A251" s="24">
        <v>21800</v>
      </c>
      <c r="B251">
        <v>45</v>
      </c>
    </row>
    <row r="252" spans="1:2">
      <c r="A252" s="24">
        <v>21801</v>
      </c>
      <c r="B252">
        <v>36</v>
      </c>
    </row>
    <row r="253" spans="1:2">
      <c r="A253" s="24">
        <v>21802</v>
      </c>
      <c r="B253">
        <v>57</v>
      </c>
    </row>
    <row r="254" spans="1:2">
      <c r="A254" s="24">
        <v>21803</v>
      </c>
      <c r="B254">
        <v>44</v>
      </c>
    </row>
    <row r="255" spans="1:2">
      <c r="A255" s="24">
        <v>21804</v>
      </c>
      <c r="B255">
        <v>42</v>
      </c>
    </row>
    <row r="256" spans="1:2">
      <c r="A256" s="24">
        <v>21805</v>
      </c>
      <c r="B256">
        <v>53</v>
      </c>
    </row>
    <row r="257" spans="1:2">
      <c r="A257" s="24">
        <v>21806</v>
      </c>
      <c r="B257">
        <v>42</v>
      </c>
    </row>
    <row r="258" spans="1:2">
      <c r="A258" s="24">
        <v>21807</v>
      </c>
      <c r="B258">
        <v>34</v>
      </c>
    </row>
    <row r="259" spans="1:2">
      <c r="A259" s="24">
        <v>21808</v>
      </c>
      <c r="B259">
        <v>40</v>
      </c>
    </row>
    <row r="260" spans="1:2">
      <c r="A260" s="24">
        <v>21809</v>
      </c>
      <c r="B260">
        <v>56</v>
      </c>
    </row>
    <row r="261" spans="1:2">
      <c r="A261" s="24">
        <v>21810</v>
      </c>
      <c r="B261">
        <v>44</v>
      </c>
    </row>
    <row r="262" spans="1:2">
      <c r="A262" s="24">
        <v>21811</v>
      </c>
      <c r="B262">
        <v>53</v>
      </c>
    </row>
    <row r="263" spans="1:2">
      <c r="A263" s="24">
        <v>21812</v>
      </c>
      <c r="B263">
        <v>55</v>
      </c>
    </row>
    <row r="264" spans="1:2">
      <c r="A264" s="24">
        <v>21813</v>
      </c>
      <c r="B264">
        <v>39</v>
      </c>
    </row>
    <row r="265" spans="1:2">
      <c r="A265" s="24">
        <v>21814</v>
      </c>
      <c r="B265">
        <v>59</v>
      </c>
    </row>
    <row r="266" spans="1:2">
      <c r="A266" s="24">
        <v>21815</v>
      </c>
      <c r="B266">
        <v>55</v>
      </c>
    </row>
    <row r="267" spans="1:2">
      <c r="A267" s="24">
        <v>21816</v>
      </c>
      <c r="B267">
        <v>73</v>
      </c>
    </row>
    <row r="268" spans="1:2">
      <c r="A268" s="24">
        <v>21817</v>
      </c>
      <c r="B268">
        <v>55</v>
      </c>
    </row>
    <row r="269" spans="1:2">
      <c r="A269" s="24">
        <v>21818</v>
      </c>
      <c r="B269">
        <v>44</v>
      </c>
    </row>
    <row r="270" spans="1:2">
      <c r="A270" s="24">
        <v>21819</v>
      </c>
      <c r="B270">
        <v>43</v>
      </c>
    </row>
    <row r="271" spans="1:2">
      <c r="A271" s="24">
        <v>21820</v>
      </c>
      <c r="B271">
        <v>40</v>
      </c>
    </row>
    <row r="272" spans="1:2">
      <c r="A272" s="24">
        <v>21821</v>
      </c>
      <c r="B272">
        <v>47</v>
      </c>
    </row>
    <row r="273" spans="1:2">
      <c r="A273" s="24">
        <v>21822</v>
      </c>
      <c r="B273">
        <v>51</v>
      </c>
    </row>
    <row r="274" spans="1:2">
      <c r="A274" s="24">
        <v>21823</v>
      </c>
      <c r="B274">
        <v>56</v>
      </c>
    </row>
    <row r="275" spans="1:2">
      <c r="A275" s="24">
        <v>21824</v>
      </c>
      <c r="B275">
        <v>49</v>
      </c>
    </row>
    <row r="276" spans="1:2">
      <c r="A276" s="24">
        <v>21825</v>
      </c>
      <c r="B276">
        <v>54</v>
      </c>
    </row>
    <row r="277" spans="1:2">
      <c r="A277" s="24">
        <v>21826</v>
      </c>
      <c r="B277">
        <v>56</v>
      </c>
    </row>
    <row r="278" spans="1:2">
      <c r="A278" s="24">
        <v>21827</v>
      </c>
      <c r="B278">
        <v>47</v>
      </c>
    </row>
    <row r="279" spans="1:2">
      <c r="A279" s="24">
        <v>21828</v>
      </c>
      <c r="B279">
        <v>44</v>
      </c>
    </row>
    <row r="280" spans="1:2">
      <c r="A280" s="24">
        <v>21829</v>
      </c>
      <c r="B280">
        <v>43</v>
      </c>
    </row>
    <row r="281" spans="1:2">
      <c r="A281" s="24">
        <v>21830</v>
      </c>
      <c r="B281">
        <v>42</v>
      </c>
    </row>
    <row r="282" spans="1:2">
      <c r="A282" s="24">
        <v>21831</v>
      </c>
      <c r="B282">
        <v>45</v>
      </c>
    </row>
    <row r="283" spans="1:2">
      <c r="A283" s="24">
        <v>21832</v>
      </c>
      <c r="B283">
        <v>50</v>
      </c>
    </row>
    <row r="284" spans="1:2">
      <c r="A284" s="24">
        <v>21833</v>
      </c>
      <c r="B284">
        <v>48</v>
      </c>
    </row>
    <row r="285" spans="1:2">
      <c r="A285" s="24">
        <v>21834</v>
      </c>
      <c r="B285">
        <v>43</v>
      </c>
    </row>
    <row r="286" spans="1:2">
      <c r="A286" s="24">
        <v>21835</v>
      </c>
      <c r="B286">
        <v>40</v>
      </c>
    </row>
    <row r="287" spans="1:2">
      <c r="A287" s="24">
        <v>21836</v>
      </c>
      <c r="B287">
        <v>59</v>
      </c>
    </row>
    <row r="288" spans="1:2">
      <c r="A288" s="24">
        <v>21837</v>
      </c>
      <c r="B288">
        <v>41</v>
      </c>
    </row>
    <row r="289" spans="1:2">
      <c r="A289" s="24">
        <v>21838</v>
      </c>
      <c r="B289">
        <v>42</v>
      </c>
    </row>
    <row r="290" spans="1:2">
      <c r="A290" s="24">
        <v>21839</v>
      </c>
      <c r="B290">
        <v>51</v>
      </c>
    </row>
    <row r="291" spans="1:2">
      <c r="A291" s="24">
        <v>21840</v>
      </c>
      <c r="B291">
        <v>49</v>
      </c>
    </row>
    <row r="292" spans="1:2">
      <c r="A292" s="24">
        <v>21841</v>
      </c>
      <c r="B292">
        <v>45</v>
      </c>
    </row>
    <row r="293" spans="1:2">
      <c r="A293" s="24">
        <v>21842</v>
      </c>
      <c r="B293">
        <v>43</v>
      </c>
    </row>
    <row r="294" spans="1:2">
      <c r="A294" s="24">
        <v>21843</v>
      </c>
      <c r="B294">
        <v>42</v>
      </c>
    </row>
    <row r="295" spans="1:2">
      <c r="A295" s="24">
        <v>21844</v>
      </c>
      <c r="B295">
        <v>38</v>
      </c>
    </row>
    <row r="296" spans="1:2">
      <c r="A296" s="24">
        <v>21845</v>
      </c>
      <c r="B296">
        <v>47</v>
      </c>
    </row>
    <row r="297" spans="1:2">
      <c r="A297" s="24">
        <v>21846</v>
      </c>
      <c r="B297">
        <v>38</v>
      </c>
    </row>
    <row r="298" spans="1:2">
      <c r="A298" s="24">
        <v>21847</v>
      </c>
      <c r="B298">
        <v>36</v>
      </c>
    </row>
    <row r="299" spans="1:2">
      <c r="A299" s="24">
        <v>21848</v>
      </c>
      <c r="B299">
        <v>42</v>
      </c>
    </row>
    <row r="300" spans="1:2">
      <c r="A300" s="24">
        <v>21849</v>
      </c>
      <c r="B300">
        <v>35</v>
      </c>
    </row>
    <row r="301" spans="1:2">
      <c r="A301" s="24">
        <v>21850</v>
      </c>
      <c r="B301">
        <v>28</v>
      </c>
    </row>
    <row r="302" spans="1:2">
      <c r="A302" s="24">
        <v>21851</v>
      </c>
      <c r="B302">
        <v>44</v>
      </c>
    </row>
    <row r="303" spans="1:2">
      <c r="A303" s="24">
        <v>21852</v>
      </c>
      <c r="B303">
        <v>36</v>
      </c>
    </row>
    <row r="304" spans="1:2">
      <c r="A304" s="24">
        <v>21853</v>
      </c>
      <c r="B304">
        <v>45</v>
      </c>
    </row>
    <row r="305" spans="1:2">
      <c r="A305" s="24">
        <v>21854</v>
      </c>
      <c r="B305">
        <v>46</v>
      </c>
    </row>
    <row r="306" spans="1:2">
      <c r="A306" s="24">
        <v>21855</v>
      </c>
      <c r="B306">
        <v>48</v>
      </c>
    </row>
    <row r="307" spans="1:2">
      <c r="A307" s="24">
        <v>21856</v>
      </c>
      <c r="B307">
        <v>49</v>
      </c>
    </row>
    <row r="308" spans="1:2">
      <c r="A308" s="24">
        <v>21857</v>
      </c>
      <c r="B308">
        <v>43</v>
      </c>
    </row>
    <row r="309" spans="1:2">
      <c r="A309" s="24">
        <v>21858</v>
      </c>
      <c r="B309">
        <v>42</v>
      </c>
    </row>
    <row r="310" spans="1:2">
      <c r="A310" s="24">
        <v>21859</v>
      </c>
      <c r="B310">
        <v>59</v>
      </c>
    </row>
    <row r="311" spans="1:2">
      <c r="A311" s="24">
        <v>21860</v>
      </c>
      <c r="B311">
        <v>45</v>
      </c>
    </row>
    <row r="312" spans="1:2">
      <c r="A312" s="24">
        <v>21861</v>
      </c>
      <c r="B312">
        <v>52</v>
      </c>
    </row>
    <row r="313" spans="1:2">
      <c r="A313" s="24">
        <v>21862</v>
      </c>
      <c r="B313">
        <v>46</v>
      </c>
    </row>
    <row r="314" spans="1:2">
      <c r="A314" s="24">
        <v>21863</v>
      </c>
      <c r="B314">
        <v>42</v>
      </c>
    </row>
    <row r="315" spans="1:2">
      <c r="A315" s="24">
        <v>21864</v>
      </c>
      <c r="B315">
        <v>40</v>
      </c>
    </row>
    <row r="316" spans="1:2">
      <c r="A316" s="24">
        <v>21865</v>
      </c>
      <c r="B316">
        <v>40</v>
      </c>
    </row>
    <row r="317" spans="1:2">
      <c r="A317" s="24">
        <v>21866</v>
      </c>
      <c r="B317">
        <v>45</v>
      </c>
    </row>
    <row r="318" spans="1:2">
      <c r="A318" s="24">
        <v>21867</v>
      </c>
      <c r="B318">
        <v>35</v>
      </c>
    </row>
    <row r="319" spans="1:2">
      <c r="A319" s="24">
        <v>21868</v>
      </c>
      <c r="B319">
        <v>35</v>
      </c>
    </row>
    <row r="320" spans="1:2">
      <c r="A320" s="24">
        <v>21869</v>
      </c>
      <c r="B320">
        <v>40</v>
      </c>
    </row>
    <row r="321" spans="1:2">
      <c r="A321" s="24">
        <v>21870</v>
      </c>
      <c r="B321">
        <v>39</v>
      </c>
    </row>
    <row r="322" spans="1:2">
      <c r="A322" s="24">
        <v>21871</v>
      </c>
      <c r="B322">
        <v>33</v>
      </c>
    </row>
    <row r="323" spans="1:2">
      <c r="A323" s="24">
        <v>21872</v>
      </c>
      <c r="B323">
        <v>42</v>
      </c>
    </row>
    <row r="324" spans="1:2">
      <c r="A324" s="24">
        <v>21873</v>
      </c>
      <c r="B324">
        <v>47</v>
      </c>
    </row>
    <row r="325" spans="1:2">
      <c r="A325" s="24">
        <v>21874</v>
      </c>
      <c r="B325">
        <v>51</v>
      </c>
    </row>
    <row r="326" spans="1:2">
      <c r="A326" s="24">
        <v>21875</v>
      </c>
      <c r="B326">
        <v>44</v>
      </c>
    </row>
    <row r="327" spans="1:2">
      <c r="A327" s="24">
        <v>21876</v>
      </c>
      <c r="B327">
        <v>40</v>
      </c>
    </row>
    <row r="328" spans="1:2">
      <c r="A328" s="24">
        <v>21877</v>
      </c>
      <c r="B328">
        <v>57</v>
      </c>
    </row>
    <row r="329" spans="1:2">
      <c r="A329" s="24">
        <v>21878</v>
      </c>
      <c r="B329">
        <v>49</v>
      </c>
    </row>
    <row r="330" spans="1:2">
      <c r="A330" s="24">
        <v>21879</v>
      </c>
      <c r="B330">
        <v>45</v>
      </c>
    </row>
    <row r="331" spans="1:2">
      <c r="A331" s="24">
        <v>21880</v>
      </c>
      <c r="B331">
        <v>49</v>
      </c>
    </row>
    <row r="332" spans="1:2">
      <c r="A332" s="24">
        <v>21881</v>
      </c>
      <c r="B332">
        <v>51</v>
      </c>
    </row>
    <row r="333" spans="1:2">
      <c r="A333" s="24">
        <v>21882</v>
      </c>
      <c r="B333">
        <v>46</v>
      </c>
    </row>
    <row r="334" spans="1:2">
      <c r="A334" s="24">
        <v>21883</v>
      </c>
      <c r="B334">
        <v>44</v>
      </c>
    </row>
    <row r="335" spans="1:2">
      <c r="A335" s="24">
        <v>21884</v>
      </c>
      <c r="B335">
        <v>52</v>
      </c>
    </row>
    <row r="336" spans="1:2">
      <c r="A336" s="24">
        <v>21885</v>
      </c>
      <c r="B336">
        <v>45</v>
      </c>
    </row>
    <row r="337" spans="1:2">
      <c r="A337" s="24">
        <v>21886</v>
      </c>
      <c r="B337">
        <v>32</v>
      </c>
    </row>
    <row r="338" spans="1:2">
      <c r="A338" s="24">
        <v>21887</v>
      </c>
      <c r="B338">
        <v>46</v>
      </c>
    </row>
    <row r="339" spans="1:2">
      <c r="A339" s="24">
        <v>21888</v>
      </c>
      <c r="B339">
        <v>41</v>
      </c>
    </row>
    <row r="340" spans="1:2">
      <c r="A340" s="24">
        <v>21889</v>
      </c>
      <c r="B340">
        <v>34</v>
      </c>
    </row>
    <row r="341" spans="1:2">
      <c r="A341" s="24">
        <v>21890</v>
      </c>
      <c r="B341">
        <v>33</v>
      </c>
    </row>
    <row r="342" spans="1:2">
      <c r="A342" s="24">
        <v>21891</v>
      </c>
      <c r="B342">
        <v>36</v>
      </c>
    </row>
    <row r="343" spans="1:2">
      <c r="A343" s="24">
        <v>21892</v>
      </c>
      <c r="B343">
        <v>49</v>
      </c>
    </row>
    <row r="344" spans="1:2">
      <c r="A344" s="24">
        <v>21893</v>
      </c>
      <c r="B344">
        <v>43</v>
      </c>
    </row>
    <row r="345" spans="1:2">
      <c r="A345" s="24">
        <v>21894</v>
      </c>
      <c r="B345">
        <v>43</v>
      </c>
    </row>
    <row r="346" spans="1:2">
      <c r="A346" s="24">
        <v>21895</v>
      </c>
      <c r="B346">
        <v>34</v>
      </c>
    </row>
    <row r="347" spans="1:2">
      <c r="A347" s="24">
        <v>21896</v>
      </c>
      <c r="B347">
        <v>39</v>
      </c>
    </row>
    <row r="348" spans="1:2">
      <c r="A348" s="24">
        <v>21897</v>
      </c>
      <c r="B348">
        <v>35</v>
      </c>
    </row>
    <row r="349" spans="1:2">
      <c r="A349" s="24">
        <v>21898</v>
      </c>
      <c r="B349">
        <v>52</v>
      </c>
    </row>
    <row r="350" spans="1:2">
      <c r="A350" s="24">
        <v>21899</v>
      </c>
      <c r="B350">
        <v>47</v>
      </c>
    </row>
    <row r="351" spans="1:2">
      <c r="A351" s="24">
        <v>21900</v>
      </c>
      <c r="B351">
        <v>52</v>
      </c>
    </row>
    <row r="352" spans="1:2">
      <c r="A352" s="24">
        <v>21901</v>
      </c>
      <c r="B352">
        <v>39</v>
      </c>
    </row>
    <row r="353" spans="1:5">
      <c r="A353" s="24">
        <v>21902</v>
      </c>
      <c r="B353">
        <v>40</v>
      </c>
    </row>
    <row r="354" spans="1:5">
      <c r="A354" s="24">
        <v>21903</v>
      </c>
      <c r="B354">
        <v>42</v>
      </c>
    </row>
    <row r="355" spans="1:5">
      <c r="A355" s="24">
        <v>21904</v>
      </c>
      <c r="B355">
        <v>42</v>
      </c>
    </row>
    <row r="356" spans="1:5">
      <c r="A356" s="24">
        <v>21905</v>
      </c>
      <c r="B356">
        <v>53</v>
      </c>
    </row>
    <row r="357" spans="1:5">
      <c r="A357" s="24">
        <v>21906</v>
      </c>
      <c r="B357">
        <v>39</v>
      </c>
    </row>
    <row r="358" spans="1:5">
      <c r="A358" s="24">
        <v>21907</v>
      </c>
      <c r="B358">
        <v>40</v>
      </c>
    </row>
    <row r="359" spans="1:5">
      <c r="A359" s="24">
        <v>21908</v>
      </c>
      <c r="B359">
        <v>38</v>
      </c>
    </row>
    <row r="360" spans="1:5">
      <c r="A360" s="24">
        <v>21909</v>
      </c>
      <c r="B360">
        <v>44</v>
      </c>
    </row>
    <row r="361" spans="1:5">
      <c r="A361" s="24">
        <v>21910</v>
      </c>
      <c r="B361">
        <v>34</v>
      </c>
    </row>
    <row r="362" spans="1:5">
      <c r="A362" s="24">
        <v>21911</v>
      </c>
      <c r="B362">
        <v>37</v>
      </c>
    </row>
    <row r="363" spans="1:5">
      <c r="A363" s="24">
        <v>21912</v>
      </c>
      <c r="B363">
        <v>52</v>
      </c>
    </row>
    <row r="364" spans="1:5">
      <c r="A364" s="24">
        <v>21913</v>
      </c>
      <c r="B364">
        <v>48</v>
      </c>
    </row>
    <row r="365" spans="1:5">
      <c r="A365" s="24">
        <v>21914</v>
      </c>
      <c r="B365">
        <v>55</v>
      </c>
    </row>
    <row r="366" spans="1:5">
      <c r="A366" s="24">
        <v>21915</v>
      </c>
      <c r="B366">
        <v>50</v>
      </c>
      <c r="C366">
        <v>50</v>
      </c>
      <c r="D366" s="25">
        <v>50</v>
      </c>
      <c r="E366" s="25">
        <v>50</v>
      </c>
    </row>
    <row r="367" spans="1:5">
      <c r="A367" s="24">
        <v>21916</v>
      </c>
      <c r="C367">
        <f t="shared" ref="C367:C398" si="0">_xlfn.FORECAST.ETS(A367,$B$2:$B$366,$A$2:$A$366,1,1)</f>
        <v>47.07848099046906</v>
      </c>
      <c r="D367" s="25">
        <f t="shared" ref="D367:D398" si="1">C367-_xlfn.FORECAST.ETS.CONFINT(A367,$B$2:$B$366,$A$2:$A$366,0.95,1,1)</f>
        <v>32.414654408906244</v>
      </c>
      <c r="E367" s="25">
        <f t="shared" ref="E367:E398" si="2">C367+_xlfn.FORECAST.ETS.CONFINT(A367,$B$2:$B$366,$A$2:$A$366,0.95,1,1)</f>
        <v>61.742307572031876</v>
      </c>
    </row>
    <row r="368" spans="1:5">
      <c r="A368" s="24">
        <v>21917</v>
      </c>
      <c r="C368">
        <f t="shared" si="0"/>
        <v>44.540814102244376</v>
      </c>
      <c r="D368" s="25">
        <f t="shared" si="1"/>
        <v>29.41854786793655</v>
      </c>
      <c r="E368" s="25">
        <f t="shared" si="2"/>
        <v>59.663080336552198</v>
      </c>
    </row>
    <row r="369" spans="1:5">
      <c r="A369" s="24">
        <v>21918</v>
      </c>
      <c r="C369">
        <f t="shared" si="0"/>
        <v>44.781489063466779</v>
      </c>
      <c r="D369" s="25">
        <f t="shared" si="1"/>
        <v>29.210790583550015</v>
      </c>
      <c r="E369" s="25">
        <f t="shared" si="2"/>
        <v>60.352187543383543</v>
      </c>
    </row>
    <row r="370" spans="1:5">
      <c r="A370" s="24">
        <v>21919</v>
      </c>
      <c r="C370">
        <f t="shared" si="0"/>
        <v>54.908684154817522</v>
      </c>
      <c r="D370" s="25">
        <f t="shared" si="1"/>
        <v>38.898706473903815</v>
      </c>
      <c r="E370" s="25">
        <f t="shared" si="2"/>
        <v>70.918661835731228</v>
      </c>
    </row>
    <row r="371" spans="1:5">
      <c r="A371" s="24">
        <v>21920</v>
      </c>
      <c r="C371">
        <f t="shared" si="0"/>
        <v>49.366808680756009</v>
      </c>
      <c r="D371" s="25">
        <f t="shared" si="1"/>
        <v>32.925958073517805</v>
      </c>
      <c r="E371" s="25">
        <f t="shared" si="2"/>
        <v>65.807659287994213</v>
      </c>
    </row>
    <row r="372" spans="1:5">
      <c r="A372" s="24">
        <v>21921</v>
      </c>
      <c r="C372">
        <f t="shared" si="0"/>
        <v>50.330835805359378</v>
      </c>
      <c r="D372" s="25">
        <f t="shared" si="1"/>
        <v>33.46686144441432</v>
      </c>
      <c r="E372" s="25">
        <f t="shared" si="2"/>
        <v>67.194810166304435</v>
      </c>
    </row>
    <row r="373" spans="1:5">
      <c r="A373" s="24">
        <v>21922</v>
      </c>
      <c r="C373">
        <f t="shared" si="0"/>
        <v>48.075340586273391</v>
      </c>
      <c r="D373" s="25">
        <f t="shared" si="1"/>
        <v>30.795409942019152</v>
      </c>
      <c r="E373" s="25">
        <f t="shared" si="2"/>
        <v>65.355271230527634</v>
      </c>
    </row>
    <row r="374" spans="1:5">
      <c r="A374" s="24">
        <v>21923</v>
      </c>
      <c r="C374">
        <f t="shared" si="0"/>
        <v>47.349610477405825</v>
      </c>
      <c r="D374" s="25">
        <f t="shared" si="1"/>
        <v>28.53241249700163</v>
      </c>
      <c r="E374" s="25">
        <f t="shared" si="2"/>
        <v>66.166808457810021</v>
      </c>
    </row>
    <row r="375" spans="1:5">
      <c r="A375" s="24">
        <v>21924</v>
      </c>
      <c r="C375">
        <f t="shared" si="0"/>
        <v>44.811943589181141</v>
      </c>
      <c r="D375" s="25">
        <f t="shared" si="1"/>
        <v>25.615297518648745</v>
      </c>
      <c r="E375" s="25">
        <f t="shared" si="2"/>
        <v>64.008589659713536</v>
      </c>
    </row>
    <row r="376" spans="1:5">
      <c r="A376" s="24">
        <v>21925</v>
      </c>
      <c r="C376">
        <f t="shared" si="0"/>
        <v>45.052618550403551</v>
      </c>
      <c r="D376" s="25">
        <f t="shared" si="1"/>
        <v>25.481029439801333</v>
      </c>
      <c r="E376" s="25">
        <f t="shared" si="2"/>
        <v>64.624207661005769</v>
      </c>
    </row>
    <row r="377" spans="1:5">
      <c r="A377" s="24">
        <v>21926</v>
      </c>
      <c r="C377">
        <f t="shared" si="0"/>
        <v>55.179813641754293</v>
      </c>
      <c r="D377" s="25">
        <f t="shared" si="1"/>
        <v>35.237521653113248</v>
      </c>
      <c r="E377" s="25">
        <f t="shared" si="2"/>
        <v>75.122105630395339</v>
      </c>
    </row>
    <row r="378" spans="1:5">
      <c r="A378" s="24">
        <v>21927</v>
      </c>
      <c r="C378">
        <f t="shared" si="0"/>
        <v>49.637938167692774</v>
      </c>
      <c r="D378" s="25">
        <f t="shared" si="1"/>
        <v>29.328940685029377</v>
      </c>
      <c r="E378" s="25">
        <f t="shared" si="2"/>
        <v>69.946935650356167</v>
      </c>
    </row>
    <row r="379" spans="1:5">
      <c r="A379" s="24">
        <v>21928</v>
      </c>
      <c r="C379">
        <f t="shared" si="0"/>
        <v>50.601965292296143</v>
      </c>
      <c r="D379" s="25">
        <f t="shared" si="1"/>
        <v>29.93003656414654</v>
      </c>
      <c r="E379" s="25">
        <f t="shared" si="2"/>
        <v>71.273894020445738</v>
      </c>
    </row>
    <row r="380" spans="1:5">
      <c r="A380" s="24">
        <v>21929</v>
      </c>
      <c r="C380">
        <f t="shared" si="0"/>
        <v>48.346470073210163</v>
      </c>
      <c r="D380" s="25">
        <f t="shared" si="1"/>
        <v>27.315178729394805</v>
      </c>
      <c r="E380" s="25">
        <f t="shared" si="2"/>
        <v>69.377761417025525</v>
      </c>
    </row>
    <row r="381" spans="1:5">
      <c r="A381" s="24">
        <v>21930</v>
      </c>
      <c r="C381">
        <f t="shared" si="0"/>
        <v>47.620739964342597</v>
      </c>
      <c r="D381" s="25">
        <f t="shared" si="1"/>
        <v>25.274689608643374</v>
      </c>
      <c r="E381" s="25">
        <f t="shared" si="2"/>
        <v>69.966790320041824</v>
      </c>
    </row>
    <row r="382" spans="1:5">
      <c r="A382" s="24">
        <v>21931</v>
      </c>
      <c r="C382">
        <f t="shared" si="0"/>
        <v>45.083073076117905</v>
      </c>
      <c r="D382" s="25">
        <f t="shared" si="1"/>
        <v>22.399147617220663</v>
      </c>
      <c r="E382" s="25">
        <f t="shared" si="2"/>
        <v>67.766998535015148</v>
      </c>
    </row>
    <row r="383" spans="1:5">
      <c r="A383" s="24">
        <v>21932</v>
      </c>
      <c r="C383">
        <f t="shared" si="0"/>
        <v>45.323748037340316</v>
      </c>
      <c r="D383" s="25">
        <f t="shared" si="1"/>
        <v>22.304417209253565</v>
      </c>
      <c r="E383" s="25">
        <f t="shared" si="2"/>
        <v>68.34307886542706</v>
      </c>
    </row>
    <row r="384" spans="1:5">
      <c r="A384" s="24">
        <v>21933</v>
      </c>
      <c r="C384">
        <f t="shared" si="0"/>
        <v>55.450943128691058</v>
      </c>
      <c r="D384" s="25">
        <f t="shared" si="1"/>
        <v>32.098561040360948</v>
      </c>
      <c r="E384" s="25">
        <f t="shared" si="2"/>
        <v>78.803325217021168</v>
      </c>
    </row>
    <row r="385" spans="1:5">
      <c r="A385" s="24">
        <v>21934</v>
      </c>
      <c r="C385">
        <f t="shared" si="0"/>
        <v>49.909067654629546</v>
      </c>
      <c r="D385" s="25">
        <f t="shared" si="1"/>
        <v>26.225880019520226</v>
      </c>
      <c r="E385" s="25">
        <f t="shared" si="2"/>
        <v>73.592255289738858</v>
      </c>
    </row>
    <row r="386" spans="1:5">
      <c r="A386" s="24">
        <v>21935</v>
      </c>
      <c r="C386">
        <f t="shared" si="0"/>
        <v>50.873094779232915</v>
      </c>
      <c r="D386" s="25">
        <f t="shared" si="1"/>
        <v>26.861245539538224</v>
      </c>
      <c r="E386" s="25">
        <f t="shared" si="2"/>
        <v>74.884944018927598</v>
      </c>
    </row>
    <row r="387" spans="1:5">
      <c r="A387" s="24">
        <v>21936</v>
      </c>
      <c r="C387">
        <f t="shared" si="0"/>
        <v>48.617599560146928</v>
      </c>
      <c r="D387" s="25">
        <f t="shared" si="1"/>
        <v>24.27913696890926</v>
      </c>
      <c r="E387" s="25">
        <f t="shared" si="2"/>
        <v>72.9560621513846</v>
      </c>
    </row>
    <row r="388" spans="1:5">
      <c r="A388" s="24">
        <v>21937</v>
      </c>
      <c r="C388">
        <f t="shared" si="0"/>
        <v>47.891869451279362</v>
      </c>
      <c r="D388" s="25">
        <f t="shared" si="1"/>
        <v>22.378100637382609</v>
      </c>
      <c r="E388" s="25">
        <f t="shared" si="2"/>
        <v>73.405638265176123</v>
      </c>
    </row>
    <row r="389" spans="1:5">
      <c r="A389" s="24">
        <v>21938</v>
      </c>
      <c r="C389">
        <f t="shared" si="0"/>
        <v>45.354202563054677</v>
      </c>
      <c r="D389" s="25">
        <f t="shared" si="1"/>
        <v>19.528281345380467</v>
      </c>
      <c r="E389" s="25">
        <f t="shared" si="2"/>
        <v>71.180123780728891</v>
      </c>
    </row>
    <row r="390" spans="1:5">
      <c r="A390" s="24">
        <v>21939</v>
      </c>
      <c r="C390">
        <f t="shared" si="0"/>
        <v>45.594877524277088</v>
      </c>
      <c r="D390" s="25">
        <f t="shared" si="1"/>
        <v>19.458281827703725</v>
      </c>
      <c r="E390" s="25">
        <f t="shared" si="2"/>
        <v>71.731473220850447</v>
      </c>
    </row>
    <row r="391" spans="1:5">
      <c r="A391" s="24">
        <v>21940</v>
      </c>
      <c r="C391">
        <f t="shared" si="0"/>
        <v>55.722072615627823</v>
      </c>
      <c r="D391" s="25">
        <f t="shared" si="1"/>
        <v>29.276220148020414</v>
      </c>
      <c r="E391" s="25">
        <f t="shared" si="2"/>
        <v>82.167925083235232</v>
      </c>
    </row>
    <row r="392" spans="1:5">
      <c r="A392" s="24">
        <v>21941</v>
      </c>
      <c r="C392">
        <f t="shared" si="0"/>
        <v>50.18019714156631</v>
      </c>
      <c r="D392" s="25">
        <f t="shared" si="1"/>
        <v>23.426448409956848</v>
      </c>
      <c r="E392" s="25">
        <f t="shared" si="2"/>
        <v>76.933945873175773</v>
      </c>
    </row>
    <row r="393" spans="1:5">
      <c r="A393" s="24">
        <v>21942</v>
      </c>
      <c r="C393">
        <f t="shared" si="0"/>
        <v>51.14422426616968</v>
      </c>
      <c r="D393" s="25">
        <f t="shared" si="1"/>
        <v>24.08388539119122</v>
      </c>
      <c r="E393" s="25">
        <f t="shared" si="2"/>
        <v>78.204563141148142</v>
      </c>
    </row>
    <row r="394" spans="1:5">
      <c r="A394" s="24">
        <v>21943</v>
      </c>
      <c r="C394">
        <f t="shared" si="0"/>
        <v>48.8887290470837</v>
      </c>
      <c r="D394" s="25">
        <f t="shared" si="1"/>
        <v>21.52305439254971</v>
      </c>
      <c r="E394" s="25">
        <f t="shared" si="2"/>
        <v>76.25440370161769</v>
      </c>
    </row>
    <row r="395" spans="1:5">
      <c r="A395" s="24">
        <v>21944</v>
      </c>
      <c r="C395">
        <f t="shared" si="0"/>
        <v>48.162998938216134</v>
      </c>
      <c r="D395" s="25">
        <f t="shared" si="1"/>
        <v>19.719128830933382</v>
      </c>
      <c r="E395" s="25">
        <f t="shared" si="2"/>
        <v>76.606869045498883</v>
      </c>
    </row>
    <row r="396" spans="1:5">
      <c r="A396" s="24">
        <v>21945</v>
      </c>
      <c r="C396">
        <f t="shared" si="0"/>
        <v>45.625332049991442</v>
      </c>
      <c r="D396" s="25">
        <f t="shared" si="1"/>
        <v>16.886648590495909</v>
      </c>
      <c r="E396" s="25">
        <f t="shared" si="2"/>
        <v>74.364015509486975</v>
      </c>
    </row>
    <row r="397" spans="1:5">
      <c r="A397" s="24">
        <v>21946</v>
      </c>
      <c r="C397">
        <f t="shared" si="0"/>
        <v>45.866007011213853</v>
      </c>
      <c r="D397" s="25">
        <f t="shared" si="1"/>
        <v>16.833426383725545</v>
      </c>
      <c r="E397" s="25">
        <f t="shared" si="2"/>
        <v>74.898587638702168</v>
      </c>
    </row>
    <row r="398" spans="1:5">
      <c r="A398" s="24">
        <v>21947</v>
      </c>
      <c r="C398">
        <f t="shared" si="0"/>
        <v>55.993202102564595</v>
      </c>
      <c r="D398" s="25">
        <f t="shared" si="1"/>
        <v>26.667605613231686</v>
      </c>
      <c r="E398" s="25">
        <f t="shared" si="2"/>
        <v>85.318798591897504</v>
      </c>
    </row>
    <row r="399" spans="1:5">
      <c r="A399" s="24">
        <v>21948</v>
      </c>
      <c r="C399">
        <f t="shared" ref="C399:C430" si="3">_xlfn.FORECAST.ETS(A399,$B$2:$B$366,$A$2:$A$366,1,1)</f>
        <v>50.451326628503082</v>
      </c>
      <c r="D399" s="25">
        <f t="shared" ref="D399:D430" si="4">C399-_xlfn.FORECAST.ETS.CONFINT(A399,$B$2:$B$366,$A$2:$A$366,0.95,1,1)</f>
        <v>20.833562166420574</v>
      </c>
      <c r="E399" s="25">
        <f t="shared" ref="E399:E430" si="5">C399+_xlfn.FORECAST.ETS.CONFINT(A399,$B$2:$B$366,$A$2:$A$366,0.95,1,1)</f>
        <v>80.069091090585587</v>
      </c>
    </row>
    <row r="400" spans="1:5">
      <c r="A400" s="24">
        <v>21949</v>
      </c>
      <c r="C400">
        <f t="shared" si="3"/>
        <v>51.415353753106444</v>
      </c>
      <c r="D400" s="25">
        <f t="shared" si="4"/>
        <v>21.506237170099535</v>
      </c>
      <c r="E400" s="25">
        <f t="shared" si="5"/>
        <v>81.32447033611335</v>
      </c>
    </row>
    <row r="401" spans="1:5">
      <c r="A401" s="24">
        <v>21950</v>
      </c>
      <c r="C401">
        <f t="shared" si="3"/>
        <v>49.159858534020465</v>
      </c>
      <c r="D401" s="25">
        <f t="shared" si="4"/>
        <v>18.960174948851929</v>
      </c>
      <c r="E401" s="25">
        <f t="shared" si="5"/>
        <v>79.359542119189001</v>
      </c>
    </row>
    <row r="402" spans="1:5">
      <c r="A402" s="24">
        <v>21951</v>
      </c>
      <c r="C402">
        <f t="shared" si="3"/>
        <v>48.434128425152899</v>
      </c>
      <c r="D402" s="25">
        <f t="shared" si="4"/>
        <v>17.228399490386408</v>
      </c>
      <c r="E402" s="25">
        <f t="shared" si="5"/>
        <v>79.63985735991939</v>
      </c>
    </row>
    <row r="403" spans="1:5">
      <c r="A403" s="24">
        <v>21952</v>
      </c>
      <c r="C403">
        <f t="shared" si="3"/>
        <v>45.896461536928214</v>
      </c>
      <c r="D403" s="25">
        <f t="shared" si="4"/>
        <v>14.408223351326622</v>
      </c>
      <c r="E403" s="25">
        <f t="shared" si="5"/>
        <v>77.384699722529803</v>
      </c>
    </row>
    <row r="404" spans="1:5">
      <c r="A404" s="24">
        <v>21953</v>
      </c>
      <c r="C404">
        <f t="shared" si="3"/>
        <v>46.137136498150625</v>
      </c>
      <c r="D404" s="25">
        <f t="shared" si="4"/>
        <v>14.366955341805426</v>
      </c>
      <c r="E404" s="25">
        <f t="shared" si="5"/>
        <v>77.907317654495827</v>
      </c>
    </row>
    <row r="405" spans="1:5">
      <c r="A405" s="24">
        <v>21954</v>
      </c>
      <c r="C405">
        <f t="shared" si="3"/>
        <v>56.26433158950136</v>
      </c>
      <c r="D405" s="25">
        <f t="shared" si="4"/>
        <v>24.212752089776494</v>
      </c>
      <c r="E405" s="25">
        <f t="shared" si="5"/>
        <v>88.315911089226233</v>
      </c>
    </row>
    <row r="406" spans="1:5">
      <c r="A406" s="24">
        <v>21955</v>
      </c>
      <c r="C406">
        <f t="shared" si="3"/>
        <v>50.722456115439847</v>
      </c>
      <c r="D406" s="25">
        <f t="shared" si="4"/>
        <v>18.390002029036616</v>
      </c>
      <c r="E406" s="25">
        <f t="shared" si="5"/>
        <v>83.054910201843086</v>
      </c>
    </row>
    <row r="407" spans="1:5">
      <c r="A407" s="24">
        <v>21956</v>
      </c>
      <c r="C407">
        <f t="shared" si="3"/>
        <v>51.686483240043216</v>
      </c>
      <c r="D407" s="25">
        <f t="shared" si="4"/>
        <v>19.073658197904024</v>
      </c>
      <c r="E407" s="25">
        <f t="shared" si="5"/>
        <v>84.299308282182409</v>
      </c>
    </row>
    <row r="408" spans="1:5">
      <c r="A408" s="24">
        <v>21957</v>
      </c>
      <c r="C408">
        <f t="shared" si="3"/>
        <v>49.430988020957237</v>
      </c>
      <c r="D408" s="25">
        <f t="shared" si="4"/>
        <v>16.5382762382199</v>
      </c>
      <c r="E408" s="25">
        <f t="shared" si="5"/>
        <v>82.323699803694581</v>
      </c>
    </row>
    <row r="409" spans="1:5">
      <c r="A409" s="24">
        <v>21958</v>
      </c>
      <c r="C409">
        <f t="shared" si="3"/>
        <v>48.705257912089664</v>
      </c>
      <c r="D409" s="25">
        <f t="shared" si="4"/>
        <v>14.862515363988024</v>
      </c>
      <c r="E409" s="25">
        <f t="shared" si="5"/>
        <v>82.548000460191304</v>
      </c>
    </row>
    <row r="410" spans="1:5">
      <c r="A410" s="24">
        <v>21959</v>
      </c>
      <c r="C410">
        <f t="shared" si="3"/>
        <v>46.167591023864979</v>
      </c>
      <c r="D410" s="25">
        <f t="shared" si="4"/>
        <v>12.051357835491565</v>
      </c>
      <c r="E410" s="25">
        <f t="shared" si="5"/>
        <v>80.283824212238386</v>
      </c>
    </row>
    <row r="411" spans="1:5">
      <c r="A411" s="24">
        <v>21960</v>
      </c>
      <c r="C411">
        <f t="shared" si="3"/>
        <v>46.40826598508739</v>
      </c>
      <c r="D411" s="25">
        <f t="shared" si="4"/>
        <v>12.018875729807299</v>
      </c>
      <c r="E411" s="25">
        <f t="shared" si="5"/>
        <v>80.797656240367473</v>
      </c>
    </row>
    <row r="412" spans="1:5">
      <c r="A412" s="24">
        <v>21961</v>
      </c>
      <c r="C412">
        <f t="shared" si="3"/>
        <v>56.535461076438132</v>
      </c>
      <c r="D412" s="25">
        <f t="shared" si="4"/>
        <v>21.873233237879447</v>
      </c>
      <c r="E412" s="25">
        <f t="shared" si="5"/>
        <v>91.197688914996817</v>
      </c>
    </row>
    <row r="413" spans="1:5">
      <c r="A413" s="24">
        <v>21962</v>
      </c>
      <c r="C413">
        <f t="shared" si="3"/>
        <v>50.993585602376619</v>
      </c>
      <c r="D413" s="25">
        <f t="shared" si="4"/>
        <v>16.058826023617669</v>
      </c>
      <c r="E413" s="25">
        <f t="shared" si="5"/>
        <v>85.928345181135569</v>
      </c>
    </row>
    <row r="414" spans="1:5">
      <c r="A414" s="24">
        <v>21963</v>
      </c>
      <c r="C414">
        <f t="shared" si="3"/>
        <v>51.957612726979981</v>
      </c>
      <c r="D414" s="25">
        <f t="shared" si="4"/>
        <v>16.75061404111942</v>
      </c>
      <c r="E414" s="25">
        <f t="shared" si="5"/>
        <v>87.164611412840543</v>
      </c>
    </row>
    <row r="415" spans="1:5">
      <c r="A415" s="24">
        <v>21964</v>
      </c>
      <c r="C415">
        <f t="shared" si="3"/>
        <v>49.702117507894002</v>
      </c>
      <c r="D415" s="25">
        <f t="shared" si="4"/>
        <v>14.223159550968859</v>
      </c>
      <c r="E415" s="25">
        <f t="shared" si="5"/>
        <v>85.181075464819145</v>
      </c>
    </row>
    <row r="416" spans="1:5">
      <c r="A416" s="24">
        <v>21965</v>
      </c>
      <c r="C416">
        <f t="shared" si="3"/>
        <v>48.976387399026436</v>
      </c>
      <c r="D416" s="25">
        <f t="shared" si="4"/>
        <v>12.592292381580393</v>
      </c>
      <c r="E416" s="25">
        <f t="shared" si="5"/>
        <v>85.360482416472479</v>
      </c>
    </row>
    <row r="417" spans="1:5">
      <c r="A417" s="24">
        <v>21966</v>
      </c>
      <c r="C417">
        <f t="shared" si="3"/>
        <v>46.438720510801751</v>
      </c>
      <c r="D417" s="25">
        <f t="shared" si="4"/>
        <v>9.7878800722301733</v>
      </c>
      <c r="E417" s="25">
        <f t="shared" si="5"/>
        <v>83.089560949373322</v>
      </c>
    </row>
    <row r="418" spans="1:5">
      <c r="A418" s="24">
        <v>21967</v>
      </c>
      <c r="C418">
        <f t="shared" si="3"/>
        <v>46.679395472024154</v>
      </c>
      <c r="D418" s="25">
        <f t="shared" si="4"/>
        <v>9.761980865389468</v>
      </c>
      <c r="E418" s="25">
        <f t="shared" si="5"/>
        <v>83.596810078658848</v>
      </c>
    </row>
    <row r="419" spans="1:5">
      <c r="A419" s="24">
        <v>21968</v>
      </c>
      <c r="C419">
        <f t="shared" si="3"/>
        <v>56.806590563374897</v>
      </c>
      <c r="D419" s="25">
        <f t="shared" si="4"/>
        <v>19.622763575721336</v>
      </c>
      <c r="E419" s="25">
        <f t="shared" si="5"/>
        <v>93.990417551028457</v>
      </c>
    </row>
    <row r="420" spans="1:5">
      <c r="A420" s="24">
        <v>21969</v>
      </c>
      <c r="C420">
        <f t="shared" si="3"/>
        <v>51.264715089313384</v>
      </c>
      <c r="D420" s="25">
        <f t="shared" si="4"/>
        <v>13.814628313205368</v>
      </c>
      <c r="E420" s="25">
        <f t="shared" si="5"/>
        <v>88.714801865421407</v>
      </c>
    </row>
    <row r="421" spans="1:5">
      <c r="A421" s="24">
        <v>21970</v>
      </c>
      <c r="C421">
        <f t="shared" si="3"/>
        <v>52.228742213916753</v>
      </c>
      <c r="D421" s="25">
        <f t="shared" si="4"/>
        <v>14.512539309003508</v>
      </c>
      <c r="E421" s="25">
        <f t="shared" si="5"/>
        <v>89.944945118829992</v>
      </c>
    </row>
    <row r="422" spans="1:5">
      <c r="A422" s="24">
        <v>21971</v>
      </c>
      <c r="C422">
        <f t="shared" si="3"/>
        <v>49.973246994830774</v>
      </c>
      <c r="D422" s="25">
        <f t="shared" si="4"/>
        <v>11.991062939894285</v>
      </c>
      <c r="E422" s="25">
        <f t="shared" si="5"/>
        <v>87.95543104976727</v>
      </c>
    </row>
    <row r="423" spans="1:5">
      <c r="A423" s="24">
        <v>21972</v>
      </c>
      <c r="C423">
        <f t="shared" si="3"/>
        <v>49.247516885963201</v>
      </c>
      <c r="D423" s="25">
        <f t="shared" si="4"/>
        <v>10.397053972219801</v>
      </c>
      <c r="E423" s="25">
        <f t="shared" si="5"/>
        <v>88.097979799706593</v>
      </c>
    </row>
    <row r="424" spans="1:5">
      <c r="A424" s="24">
        <v>21973</v>
      </c>
      <c r="C424">
        <f t="shared" si="3"/>
        <v>46.709849997738516</v>
      </c>
      <c r="D424" s="25">
        <f t="shared" si="4"/>
        <v>7.5977436011081636</v>
      </c>
      <c r="E424" s="25">
        <f t="shared" si="5"/>
        <v>85.821956394368868</v>
      </c>
    </row>
    <row r="425" spans="1:5">
      <c r="A425" s="24">
        <v>21974</v>
      </c>
      <c r="C425">
        <f t="shared" si="3"/>
        <v>46.950524958960926</v>
      </c>
      <c r="D425" s="25">
        <f t="shared" si="4"/>
        <v>7.5768289537686542</v>
      </c>
      <c r="E425" s="25">
        <f t="shared" si="5"/>
        <v>86.324220964153199</v>
      </c>
    </row>
    <row r="426" spans="1:5">
      <c r="A426" s="24">
        <v>21975</v>
      </c>
      <c r="C426">
        <f t="shared" si="3"/>
        <v>57.077720050311669</v>
      </c>
      <c r="D426" s="25">
        <f t="shared" si="4"/>
        <v>17.442481819014844</v>
      </c>
      <c r="E426" s="25">
        <f t="shared" si="5"/>
        <v>96.712958281608493</v>
      </c>
    </row>
    <row r="427" spans="1:5">
      <c r="A427" s="24">
        <v>21976</v>
      </c>
      <c r="C427">
        <f t="shared" si="3"/>
        <v>51.535844576250149</v>
      </c>
      <c r="D427" s="25">
        <f t="shared" si="4"/>
        <v>11.639105179852955</v>
      </c>
      <c r="E427" s="25">
        <f t="shared" si="5"/>
        <v>91.432583972647336</v>
      </c>
    </row>
    <row r="428" spans="1:5">
      <c r="A428" s="24">
        <v>21977</v>
      </c>
      <c r="C428">
        <f t="shared" si="3"/>
        <v>52.499871700853518</v>
      </c>
      <c r="D428" s="25">
        <f t="shared" si="4"/>
        <v>12.341666043702332</v>
      </c>
      <c r="E428" s="25">
        <f t="shared" si="5"/>
        <v>92.658077358004704</v>
      </c>
    </row>
    <row r="429" spans="1:5">
      <c r="A429" s="24">
        <v>21978</v>
      </c>
      <c r="C429">
        <f t="shared" si="3"/>
        <v>50.244376481767539</v>
      </c>
      <c r="D429" s="25">
        <f t="shared" si="4"/>
        <v>9.8247334709574901</v>
      </c>
      <c r="E429" s="25">
        <f t="shared" si="5"/>
        <v>90.66401949257758</v>
      </c>
    </row>
    <row r="430" spans="1:5">
      <c r="A430" s="24">
        <v>21979</v>
      </c>
      <c r="C430">
        <f t="shared" si="3"/>
        <v>49.518646372899973</v>
      </c>
      <c r="D430" s="25">
        <f t="shared" si="4"/>
        <v>8.2615618009675345</v>
      </c>
      <c r="E430" s="25">
        <f t="shared" si="5"/>
        <v>90.775730944832418</v>
      </c>
    </row>
    <row r="431" spans="1:5">
      <c r="A431" s="24">
        <v>21980</v>
      </c>
      <c r="C431">
        <f t="shared" ref="C431:C458" si="6">_xlfn.FORECAST.ETS(A431,$B$2:$B$366,$A$2:$A$366,1,1)</f>
        <v>46.980979484675281</v>
      </c>
      <c r="D431" s="25">
        <f t="shared" ref="D431:D462" si="7">C431-_xlfn.FORECAST.ETS.CONFINT(A431,$B$2:$B$366,$A$2:$A$366,0.95,1,1)</f>
        <v>5.4661247718831447</v>
      </c>
      <c r="E431" s="25">
        <f t="shared" ref="E431:E458" si="8">C431+_xlfn.FORECAST.ETS.CONFINT(A431,$B$2:$B$366,$A$2:$A$366,0.95,1,1)</f>
        <v>88.495834197467417</v>
      </c>
    </row>
    <row r="432" spans="1:5">
      <c r="A432" s="24">
        <v>21981</v>
      </c>
      <c r="C432">
        <f t="shared" si="6"/>
        <v>47.221654445897691</v>
      </c>
      <c r="D432" s="25">
        <f t="shared" si="7"/>
        <v>5.448996177348242</v>
      </c>
      <c r="E432" s="25">
        <f t="shared" si="8"/>
        <v>88.994312714447148</v>
      </c>
    </row>
    <row r="433" spans="1:5">
      <c r="A433" s="24">
        <v>21982</v>
      </c>
      <c r="C433">
        <f t="shared" si="6"/>
        <v>57.348849537248434</v>
      </c>
      <c r="D433" s="25">
        <f t="shared" si="7"/>
        <v>15.318349796922668</v>
      </c>
      <c r="E433" s="25">
        <f t="shared" si="8"/>
        <v>99.379349277574192</v>
      </c>
    </row>
    <row r="434" spans="1:5">
      <c r="A434" s="24">
        <v>21983</v>
      </c>
      <c r="C434">
        <f t="shared" si="6"/>
        <v>51.806974063186921</v>
      </c>
      <c r="D434" s="25">
        <f t="shared" si="7"/>
        <v>9.5185905438160816</v>
      </c>
      <c r="E434" s="25">
        <f t="shared" si="8"/>
        <v>94.095357582557767</v>
      </c>
    </row>
    <row r="435" spans="1:5">
      <c r="A435" s="24">
        <v>21984</v>
      </c>
      <c r="C435">
        <f t="shared" si="6"/>
        <v>52.77100118779029</v>
      </c>
      <c r="D435" s="25">
        <f t="shared" si="7"/>
        <v>10.224687297439644</v>
      </c>
      <c r="E435" s="25">
        <f t="shared" si="8"/>
        <v>95.317315078140936</v>
      </c>
    </row>
    <row r="436" spans="1:5">
      <c r="A436" s="24">
        <v>21985</v>
      </c>
      <c r="C436">
        <f t="shared" si="6"/>
        <v>50.515505968704304</v>
      </c>
      <c r="D436" s="25">
        <f t="shared" si="7"/>
        <v>7.7112109341906105</v>
      </c>
      <c r="E436" s="25">
        <f t="shared" si="8"/>
        <v>93.319801003218004</v>
      </c>
    </row>
    <row r="437" spans="1:5">
      <c r="A437" s="24">
        <v>21986</v>
      </c>
      <c r="C437">
        <f t="shared" si="6"/>
        <v>49.789775859836737</v>
      </c>
      <c r="D437" s="25">
        <f t="shared" si="7"/>
        <v>6.1742332676997407</v>
      </c>
      <c r="E437" s="25">
        <f t="shared" si="8"/>
        <v>93.405318451973727</v>
      </c>
    </row>
    <row r="438" spans="1:5">
      <c r="A438" s="24">
        <v>21987</v>
      </c>
      <c r="C438">
        <f t="shared" si="6"/>
        <v>47.252108971612053</v>
      </c>
      <c r="D438" s="25">
        <f t="shared" si="7"/>
        <v>3.3817260343726829</v>
      </c>
      <c r="E438" s="25">
        <f t="shared" si="8"/>
        <v>91.12249190885143</v>
      </c>
    </row>
    <row r="439" spans="1:5">
      <c r="A439" s="24">
        <v>21988</v>
      </c>
      <c r="C439">
        <f t="shared" si="6"/>
        <v>47.492783932834463</v>
      </c>
      <c r="D439" s="25">
        <f t="shared" si="7"/>
        <v>3.3674608694166821</v>
      </c>
      <c r="E439" s="25">
        <f t="shared" si="8"/>
        <v>91.618106996252237</v>
      </c>
    </row>
    <row r="440" spans="1:5">
      <c r="A440" s="24">
        <v>21989</v>
      </c>
      <c r="C440">
        <f t="shared" si="6"/>
        <v>57.619979024185206</v>
      </c>
      <c r="D440" s="25">
        <f t="shared" si="7"/>
        <v>13.239612927959335</v>
      </c>
      <c r="E440" s="25">
        <f t="shared" si="8"/>
        <v>102.00034512041108</v>
      </c>
    </row>
    <row r="441" spans="1:5">
      <c r="A441" s="24">
        <v>21990</v>
      </c>
      <c r="C441">
        <f t="shared" si="6"/>
        <v>52.078103550123686</v>
      </c>
      <c r="D441" s="25">
        <f t="shared" si="7"/>
        <v>7.4425884610404296</v>
      </c>
      <c r="E441" s="25">
        <f t="shared" si="8"/>
        <v>96.713618639206942</v>
      </c>
    </row>
    <row r="442" spans="1:5">
      <c r="A442" s="24">
        <v>21991</v>
      </c>
      <c r="C442">
        <f t="shared" si="6"/>
        <v>53.042130674727055</v>
      </c>
      <c r="D442" s="25">
        <f t="shared" si="7"/>
        <v>8.1513576494733826</v>
      </c>
      <c r="E442" s="25">
        <f t="shared" si="8"/>
        <v>97.932903699980727</v>
      </c>
    </row>
    <row r="443" spans="1:5">
      <c r="A443" s="24">
        <v>21992</v>
      </c>
      <c r="C443">
        <f t="shared" si="6"/>
        <v>50.786635455641076</v>
      </c>
      <c r="D443" s="25">
        <f t="shared" si="7"/>
        <v>5.640492635884641</v>
      </c>
      <c r="E443" s="25">
        <f t="shared" si="8"/>
        <v>95.93277827539751</v>
      </c>
    </row>
    <row r="444" spans="1:5">
      <c r="A444" s="24">
        <v>21993</v>
      </c>
      <c r="C444">
        <f t="shared" si="6"/>
        <v>50.060905346773509</v>
      </c>
      <c r="D444" s="25">
        <f t="shared" si="7"/>
        <v>4.1260431788882954</v>
      </c>
      <c r="E444" s="25">
        <f t="shared" si="8"/>
        <v>95.995767514658723</v>
      </c>
    </row>
    <row r="445" spans="1:5">
      <c r="A445" s="24">
        <v>21994</v>
      </c>
      <c r="C445">
        <f t="shared" si="6"/>
        <v>47.523238458548818</v>
      </c>
      <c r="D445" s="25">
        <f t="shared" si="7"/>
        <v>1.3357251290097025</v>
      </c>
      <c r="E445" s="25">
        <f t="shared" si="8"/>
        <v>93.710751788087933</v>
      </c>
    </row>
    <row r="446" spans="1:5">
      <c r="A446" s="24">
        <v>21995</v>
      </c>
      <c r="C446">
        <f t="shared" si="6"/>
        <v>47.763913419771228</v>
      </c>
      <c r="D446" s="25">
        <f t="shared" si="7"/>
        <v>1.3235977869410149</v>
      </c>
      <c r="E446" s="25">
        <f t="shared" si="8"/>
        <v>94.204229052601448</v>
      </c>
    </row>
    <row r="447" spans="1:5">
      <c r="A447" s="24">
        <v>21996</v>
      </c>
      <c r="C447">
        <f t="shared" si="6"/>
        <v>57.891108511121971</v>
      </c>
      <c r="D447" s="25">
        <f t="shared" si="7"/>
        <v>11.197837283140366</v>
      </c>
      <c r="E447" s="25">
        <f t="shared" si="8"/>
        <v>104.58437973910358</v>
      </c>
    </row>
    <row r="448" spans="1:5">
      <c r="A448" s="24">
        <v>21997</v>
      </c>
      <c r="C448">
        <f t="shared" si="6"/>
        <v>52.349233037060458</v>
      </c>
      <c r="D448" s="25">
        <f t="shared" si="7"/>
        <v>5.4028508196749101</v>
      </c>
      <c r="E448" s="25">
        <f t="shared" si="8"/>
        <v>99.295615254446005</v>
      </c>
    </row>
    <row r="449" spans="1:5">
      <c r="A449" s="24">
        <v>21998</v>
      </c>
      <c r="C449">
        <f t="shared" si="6"/>
        <v>53.31326016166382</v>
      </c>
      <c r="D449" s="25">
        <f t="shared" si="7"/>
        <v>6.113609504847382</v>
      </c>
      <c r="E449" s="25">
        <f t="shared" si="8"/>
        <v>100.51291081848026</v>
      </c>
    </row>
    <row r="450" spans="1:5">
      <c r="A450" s="24">
        <v>21999</v>
      </c>
      <c r="C450">
        <f t="shared" si="6"/>
        <v>51.05776494257784</v>
      </c>
      <c r="D450" s="25">
        <f t="shared" si="7"/>
        <v>3.6046863859715259</v>
      </c>
      <c r="E450" s="25">
        <f t="shared" si="8"/>
        <v>98.510843499184148</v>
      </c>
    </row>
    <row r="451" spans="1:5">
      <c r="A451" s="24">
        <v>22000</v>
      </c>
      <c r="C451">
        <f t="shared" si="6"/>
        <v>50.332034833710274</v>
      </c>
      <c r="D451" s="25">
        <f t="shared" si="7"/>
        <v>2.1098142628827361</v>
      </c>
      <c r="E451" s="25">
        <f t="shared" si="8"/>
        <v>98.554255404537813</v>
      </c>
    </row>
    <row r="452" spans="1:5">
      <c r="A452" s="24">
        <v>22001</v>
      </c>
      <c r="C452">
        <f t="shared" si="6"/>
        <v>47.79436794548559</v>
      </c>
      <c r="D452" s="25">
        <f t="shared" si="7"/>
        <v>-0.67890650983567014</v>
      </c>
      <c r="E452" s="25">
        <f t="shared" si="8"/>
        <v>96.267642400806849</v>
      </c>
    </row>
    <row r="453" spans="1:5">
      <c r="A453" s="24">
        <v>22002</v>
      </c>
      <c r="C453">
        <f t="shared" si="6"/>
        <v>48.035042906708</v>
      </c>
      <c r="D453" s="25">
        <f t="shared" si="7"/>
        <v>-0.68947689365941756</v>
      </c>
      <c r="E453" s="25">
        <f t="shared" si="8"/>
        <v>96.759562707075418</v>
      </c>
    </row>
    <row r="454" spans="1:5">
      <c r="A454" s="24">
        <v>22003</v>
      </c>
      <c r="C454">
        <f t="shared" si="6"/>
        <v>58.162237998058735</v>
      </c>
      <c r="D454" s="25">
        <f t="shared" si="7"/>
        <v>9.1862799481782531</v>
      </c>
      <c r="E454" s="25">
        <f t="shared" si="8"/>
        <v>107.13819604793922</v>
      </c>
    </row>
    <row r="455" spans="1:5">
      <c r="A455" s="24">
        <v>22004</v>
      </c>
      <c r="C455">
        <f t="shared" si="6"/>
        <v>52.620362523997223</v>
      </c>
      <c r="D455" s="25">
        <f t="shared" si="7"/>
        <v>3.3927719079789682</v>
      </c>
      <c r="E455" s="25">
        <f t="shared" si="8"/>
        <v>101.84795314001548</v>
      </c>
    </row>
    <row r="456" spans="1:5">
      <c r="A456" s="24">
        <v>22005</v>
      </c>
      <c r="C456">
        <f t="shared" si="6"/>
        <v>53.584389648600592</v>
      </c>
      <c r="D456" s="25">
        <f t="shared" si="7"/>
        <v>4.1049707686670445</v>
      </c>
      <c r="E456" s="25">
        <f t="shared" si="8"/>
        <v>103.06380852853414</v>
      </c>
    </row>
    <row r="457" spans="1:5">
      <c r="A457" s="24">
        <v>22006</v>
      </c>
      <c r="C457">
        <f t="shared" si="6"/>
        <v>51.328894429514612</v>
      </c>
      <c r="D457" s="25">
        <f t="shared" si="7"/>
        <v>1.5974502370102144</v>
      </c>
      <c r="E457" s="25">
        <f t="shared" si="8"/>
        <v>101.060338622019</v>
      </c>
    </row>
    <row r="458" spans="1:5">
      <c r="A458" s="24">
        <v>22007</v>
      </c>
      <c r="C458">
        <f t="shared" si="6"/>
        <v>50.603164320647046</v>
      </c>
      <c r="D458" s="25">
        <f t="shared" si="7"/>
        <v>0.11974082460254465</v>
      </c>
      <c r="E458" s="25">
        <f t="shared" si="8"/>
        <v>101.08658781669155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abSelected="1" zoomScale="55" zoomScaleNormal="55" workbookViewId="0">
      <selection activeCell="K11" sqref="K11"/>
    </sheetView>
  </sheetViews>
  <sheetFormatPr defaultColWidth="11.25" defaultRowHeight="15" customHeight="1"/>
  <cols>
    <col min="1" max="1" width="11" customWidth="1"/>
    <col min="2" max="2" width="11.6875" customWidth="1"/>
    <col min="3" max="3" width="28.6875" customWidth="1"/>
    <col min="4" max="4" width="13.875" customWidth="1"/>
    <col min="5" max="5" width="15.8125" customWidth="1"/>
    <col min="6" max="6" width="20.125" customWidth="1"/>
    <col min="7" max="7" width="22.875" customWidth="1"/>
    <col min="8" max="8" width="21.8125" customWidth="1"/>
    <col min="9" max="9" width="22.8125" customWidth="1"/>
    <col min="10" max="10" width="11" customWidth="1"/>
    <col min="11" max="11" width="13.687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13</v>
      </c>
      <c r="D1" s="2" t="s">
        <v>14</v>
      </c>
      <c r="E1" s="2" t="s">
        <v>4</v>
      </c>
      <c r="F1" s="2" t="s">
        <v>5</v>
      </c>
      <c r="G1" s="2" t="s">
        <v>6</v>
      </c>
      <c r="H1" s="27" t="s">
        <v>51</v>
      </c>
      <c r="I1" s="27" t="s">
        <v>50</v>
      </c>
    </row>
    <row r="2" spans="1:11" ht="15.75" customHeight="1">
      <c r="A2" s="3">
        <v>21551</v>
      </c>
      <c r="B2" s="4">
        <v>35</v>
      </c>
      <c r="C2" s="4">
        <v>0.5</v>
      </c>
      <c r="D2" s="4">
        <f>B2-C2</f>
        <v>34.5</v>
      </c>
      <c r="E2" s="4">
        <f>ABS(D2)</f>
        <v>34.5</v>
      </c>
      <c r="F2" s="4">
        <f>E2^2</f>
        <v>1190.25</v>
      </c>
      <c r="G2" s="5">
        <f>E2/B2</f>
        <v>0.98571428571428577</v>
      </c>
      <c r="H2" s="15">
        <f>SUM(B:B)</f>
        <v>15323</v>
      </c>
      <c r="I2">
        <f>H2/365</f>
        <v>41.980821917808221</v>
      </c>
    </row>
    <row r="3" spans="1:11" ht="15.75" customHeight="1">
      <c r="A3" s="3">
        <v>21552</v>
      </c>
      <c r="B3" s="4">
        <v>32</v>
      </c>
      <c r="C3" s="4">
        <v>0.5</v>
      </c>
      <c r="D3" s="4">
        <f t="shared" ref="D3:D66" si="0">B3-C3</f>
        <v>31.5</v>
      </c>
      <c r="E3" s="4">
        <f t="shared" ref="E3:E66" si="1">ABS(D3)</f>
        <v>31.5</v>
      </c>
      <c r="F3" s="4">
        <f t="shared" ref="F3:F66" si="2">E3^2</f>
        <v>992.25</v>
      </c>
      <c r="G3" s="5">
        <f t="shared" ref="G3:G66" si="3">E3/B3</f>
        <v>0.984375</v>
      </c>
    </row>
    <row r="4" spans="1:11" ht="15.75" customHeight="1">
      <c r="A4" s="3">
        <v>21553</v>
      </c>
      <c r="B4" s="4">
        <v>30</v>
      </c>
      <c r="C4" s="4">
        <v>0.5</v>
      </c>
      <c r="D4" s="4">
        <f t="shared" si="0"/>
        <v>29.5</v>
      </c>
      <c r="E4" s="4">
        <f t="shared" si="1"/>
        <v>29.5</v>
      </c>
      <c r="F4" s="4">
        <f t="shared" si="2"/>
        <v>870.25</v>
      </c>
      <c r="G4" s="5">
        <f t="shared" si="3"/>
        <v>0.98333333333333328</v>
      </c>
    </row>
    <row r="5" spans="1:11" ht="15.75" customHeight="1">
      <c r="A5" s="3">
        <v>21554</v>
      </c>
      <c r="B5" s="4">
        <v>31</v>
      </c>
      <c r="C5" s="4">
        <v>0.5</v>
      </c>
      <c r="D5" s="4">
        <f t="shared" si="0"/>
        <v>30.5</v>
      </c>
      <c r="E5" s="4">
        <f t="shared" si="1"/>
        <v>30.5</v>
      </c>
      <c r="F5" s="4">
        <f t="shared" si="2"/>
        <v>930.25</v>
      </c>
      <c r="G5" s="5">
        <f t="shared" si="3"/>
        <v>0.9838709677419355</v>
      </c>
    </row>
    <row r="6" spans="1:11" ht="15.75" customHeight="1">
      <c r="A6" s="3">
        <v>21555</v>
      </c>
      <c r="B6" s="4">
        <v>44</v>
      </c>
      <c r="C6" s="4">
        <v>0.5</v>
      </c>
      <c r="D6" s="4">
        <f t="shared" si="0"/>
        <v>43.5</v>
      </c>
      <c r="E6" s="4">
        <f t="shared" si="1"/>
        <v>43.5</v>
      </c>
      <c r="F6" s="4">
        <f t="shared" si="2"/>
        <v>1892.25</v>
      </c>
      <c r="G6" s="5">
        <f t="shared" si="3"/>
        <v>0.98863636363636365</v>
      </c>
    </row>
    <row r="7" spans="1:11" ht="15.75" customHeight="1">
      <c r="A7" s="3">
        <v>21556</v>
      </c>
      <c r="B7" s="4">
        <v>29</v>
      </c>
      <c r="C7" s="4">
        <v>0.5</v>
      </c>
      <c r="D7" s="4">
        <f t="shared" si="0"/>
        <v>28.5</v>
      </c>
      <c r="E7" s="4">
        <f t="shared" si="1"/>
        <v>28.5</v>
      </c>
      <c r="F7" s="4">
        <f t="shared" si="2"/>
        <v>812.25</v>
      </c>
      <c r="G7" s="5">
        <f t="shared" si="3"/>
        <v>0.98275862068965514</v>
      </c>
    </row>
    <row r="8" spans="1:11" ht="15.75" customHeight="1">
      <c r="A8" s="3">
        <v>21557</v>
      </c>
      <c r="B8" s="4">
        <v>45</v>
      </c>
      <c r="C8" s="4">
        <v>0.5</v>
      </c>
      <c r="D8" s="4">
        <f t="shared" si="0"/>
        <v>44.5</v>
      </c>
      <c r="E8" s="4">
        <f t="shared" si="1"/>
        <v>44.5</v>
      </c>
      <c r="F8" s="4">
        <f t="shared" si="2"/>
        <v>1980.25</v>
      </c>
      <c r="G8" s="5">
        <f t="shared" si="3"/>
        <v>0.98888888888888893</v>
      </c>
      <c r="J8" s="2" t="s">
        <v>7</v>
      </c>
      <c r="K8" s="8">
        <f>AVERAGE(E:E)</f>
        <v>41.480821917808221</v>
      </c>
    </row>
    <row r="9" spans="1:11" ht="15.75" customHeight="1">
      <c r="A9" s="3">
        <v>21558</v>
      </c>
      <c r="B9" s="4">
        <v>43</v>
      </c>
      <c r="C9" s="4">
        <v>0.5</v>
      </c>
      <c r="D9" s="4">
        <f t="shared" si="0"/>
        <v>42.5</v>
      </c>
      <c r="E9" s="4">
        <f t="shared" si="1"/>
        <v>42.5</v>
      </c>
      <c r="F9" s="4">
        <f t="shared" si="2"/>
        <v>1806.25</v>
      </c>
      <c r="G9" s="5">
        <f t="shared" si="3"/>
        <v>0.98837209302325579</v>
      </c>
      <c r="J9" s="2" t="s">
        <v>8</v>
      </c>
      <c r="K9" s="8">
        <f>AVERAGE(F:F)</f>
        <v>1774.5075342465752</v>
      </c>
    </row>
    <row r="10" spans="1:11" ht="15.75" customHeight="1">
      <c r="A10" s="3">
        <v>21559</v>
      </c>
      <c r="B10" s="4">
        <v>38</v>
      </c>
      <c r="C10" s="4">
        <v>0.5</v>
      </c>
      <c r="D10" s="4">
        <f t="shared" si="0"/>
        <v>37.5</v>
      </c>
      <c r="E10" s="4">
        <f t="shared" si="1"/>
        <v>37.5</v>
      </c>
      <c r="F10" s="4">
        <f t="shared" si="2"/>
        <v>1406.25</v>
      </c>
      <c r="G10" s="5">
        <f t="shared" si="3"/>
        <v>0.98684210526315785</v>
      </c>
      <c r="J10" s="9" t="s">
        <v>9</v>
      </c>
      <c r="K10" s="10">
        <f>AVERAGE(G:G)</f>
        <v>0.98771659274750701</v>
      </c>
    </row>
    <row r="11" spans="1:11" ht="15.75" customHeight="1">
      <c r="A11" s="3">
        <v>21560</v>
      </c>
      <c r="B11" s="4">
        <v>27</v>
      </c>
      <c r="C11" s="4">
        <v>0.5</v>
      </c>
      <c r="D11" s="4">
        <f t="shared" si="0"/>
        <v>26.5</v>
      </c>
      <c r="E11" s="4">
        <f t="shared" si="1"/>
        <v>26.5</v>
      </c>
      <c r="F11" s="4">
        <f t="shared" si="2"/>
        <v>702.25</v>
      </c>
      <c r="G11" s="5">
        <f t="shared" si="3"/>
        <v>0.98148148148148151</v>
      </c>
      <c r="J11" s="2" t="s">
        <v>10</v>
      </c>
      <c r="K11" s="8">
        <f>100-K10</f>
        <v>99.012283407252497</v>
      </c>
    </row>
    <row r="12" spans="1:11" ht="15.75" customHeight="1">
      <c r="A12" s="3">
        <v>21561</v>
      </c>
      <c r="B12" s="4">
        <v>38</v>
      </c>
      <c r="C12" s="4">
        <v>0.5</v>
      </c>
      <c r="D12" s="4">
        <f t="shared" si="0"/>
        <v>37.5</v>
      </c>
      <c r="E12" s="4">
        <f t="shared" si="1"/>
        <v>37.5</v>
      </c>
      <c r="F12" s="4">
        <f t="shared" si="2"/>
        <v>1406.25</v>
      </c>
      <c r="G12" s="5">
        <f t="shared" si="3"/>
        <v>0.98684210526315785</v>
      </c>
    </row>
    <row r="13" spans="1:11" ht="15.75" customHeight="1">
      <c r="A13" s="3">
        <v>21562</v>
      </c>
      <c r="B13" s="4">
        <v>33</v>
      </c>
      <c r="C13" s="4">
        <v>0.5</v>
      </c>
      <c r="D13" s="4">
        <f t="shared" si="0"/>
        <v>32.5</v>
      </c>
      <c r="E13" s="4">
        <f t="shared" si="1"/>
        <v>32.5</v>
      </c>
      <c r="F13" s="4">
        <f t="shared" si="2"/>
        <v>1056.25</v>
      </c>
      <c r="G13" s="5">
        <f t="shared" si="3"/>
        <v>0.98484848484848486</v>
      </c>
    </row>
    <row r="14" spans="1:11" ht="15.75" customHeight="1">
      <c r="A14" s="3">
        <v>21563</v>
      </c>
      <c r="B14" s="4">
        <v>55</v>
      </c>
      <c r="C14" s="4">
        <v>0.5</v>
      </c>
      <c r="D14" s="4">
        <f t="shared" si="0"/>
        <v>54.5</v>
      </c>
      <c r="E14" s="4">
        <f t="shared" si="1"/>
        <v>54.5</v>
      </c>
      <c r="F14" s="4">
        <f t="shared" si="2"/>
        <v>2970.25</v>
      </c>
      <c r="G14" s="5">
        <f t="shared" si="3"/>
        <v>0.99090909090909096</v>
      </c>
    </row>
    <row r="15" spans="1:11" ht="15.75" customHeight="1">
      <c r="A15" s="3">
        <v>21564</v>
      </c>
      <c r="B15" s="4">
        <v>47</v>
      </c>
      <c r="C15" s="4">
        <v>0.5</v>
      </c>
      <c r="D15" s="4">
        <f t="shared" si="0"/>
        <v>46.5</v>
      </c>
      <c r="E15" s="4">
        <f t="shared" si="1"/>
        <v>46.5</v>
      </c>
      <c r="F15" s="4">
        <f t="shared" si="2"/>
        <v>2162.25</v>
      </c>
      <c r="G15" s="5">
        <f t="shared" si="3"/>
        <v>0.98936170212765961</v>
      </c>
    </row>
    <row r="16" spans="1:11" ht="15.75" customHeight="1">
      <c r="A16" s="3">
        <v>21565</v>
      </c>
      <c r="B16" s="4">
        <v>45</v>
      </c>
      <c r="C16" s="4">
        <v>0.5</v>
      </c>
      <c r="D16" s="4">
        <f t="shared" si="0"/>
        <v>44.5</v>
      </c>
      <c r="E16" s="4">
        <f t="shared" si="1"/>
        <v>44.5</v>
      </c>
      <c r="F16" s="4">
        <f t="shared" si="2"/>
        <v>1980.25</v>
      </c>
      <c r="G16" s="5">
        <f t="shared" si="3"/>
        <v>0.98888888888888893</v>
      </c>
    </row>
    <row r="17" spans="1:7" ht="15.75" customHeight="1">
      <c r="A17" s="3">
        <v>21566</v>
      </c>
      <c r="B17" s="4">
        <v>37</v>
      </c>
      <c r="C17" s="4">
        <v>0.5</v>
      </c>
      <c r="D17" s="4">
        <f t="shared" si="0"/>
        <v>36.5</v>
      </c>
      <c r="E17" s="4">
        <f t="shared" si="1"/>
        <v>36.5</v>
      </c>
      <c r="F17" s="4">
        <f t="shared" si="2"/>
        <v>1332.25</v>
      </c>
      <c r="G17" s="5">
        <f t="shared" si="3"/>
        <v>0.98648648648648651</v>
      </c>
    </row>
    <row r="18" spans="1:7" ht="15.75" customHeight="1">
      <c r="A18" s="3">
        <v>21567</v>
      </c>
      <c r="B18" s="4">
        <v>50</v>
      </c>
      <c r="C18" s="4">
        <v>0.5</v>
      </c>
      <c r="D18" s="4">
        <f t="shared" si="0"/>
        <v>49.5</v>
      </c>
      <c r="E18" s="4">
        <f t="shared" si="1"/>
        <v>49.5</v>
      </c>
      <c r="F18" s="4">
        <f t="shared" si="2"/>
        <v>2450.25</v>
      </c>
      <c r="G18" s="5">
        <f t="shared" si="3"/>
        <v>0.99</v>
      </c>
    </row>
    <row r="19" spans="1:7" ht="15.75" customHeight="1">
      <c r="A19" s="3">
        <v>21568</v>
      </c>
      <c r="B19" s="4">
        <v>43</v>
      </c>
      <c r="C19" s="4">
        <v>0.5</v>
      </c>
      <c r="D19" s="4">
        <f t="shared" si="0"/>
        <v>42.5</v>
      </c>
      <c r="E19" s="4">
        <f t="shared" si="1"/>
        <v>42.5</v>
      </c>
      <c r="F19" s="4">
        <f t="shared" si="2"/>
        <v>1806.25</v>
      </c>
      <c r="G19" s="5">
        <f t="shared" si="3"/>
        <v>0.98837209302325579</v>
      </c>
    </row>
    <row r="20" spans="1:7" ht="15.75" customHeight="1">
      <c r="A20" s="3">
        <v>21569</v>
      </c>
      <c r="B20" s="4">
        <v>41</v>
      </c>
      <c r="C20" s="4">
        <v>0.5</v>
      </c>
      <c r="D20" s="4">
        <f t="shared" si="0"/>
        <v>40.5</v>
      </c>
      <c r="E20" s="4">
        <f t="shared" si="1"/>
        <v>40.5</v>
      </c>
      <c r="F20" s="4">
        <f t="shared" si="2"/>
        <v>1640.25</v>
      </c>
      <c r="G20" s="5">
        <f t="shared" si="3"/>
        <v>0.98780487804878048</v>
      </c>
    </row>
    <row r="21" spans="1:7" ht="15.75" customHeight="1">
      <c r="A21" s="3">
        <v>21570</v>
      </c>
      <c r="B21" s="4">
        <v>52</v>
      </c>
      <c r="C21" s="4">
        <v>0.5</v>
      </c>
      <c r="D21" s="4">
        <f t="shared" si="0"/>
        <v>51.5</v>
      </c>
      <c r="E21" s="4">
        <f t="shared" si="1"/>
        <v>51.5</v>
      </c>
      <c r="F21" s="4">
        <f t="shared" si="2"/>
        <v>2652.25</v>
      </c>
      <c r="G21" s="5">
        <f t="shared" si="3"/>
        <v>0.99038461538461542</v>
      </c>
    </row>
    <row r="22" spans="1:7" ht="15.75" customHeight="1">
      <c r="A22" s="3">
        <v>21571</v>
      </c>
      <c r="B22" s="4">
        <v>34</v>
      </c>
      <c r="C22" s="4">
        <v>0.5</v>
      </c>
      <c r="D22" s="4">
        <f t="shared" si="0"/>
        <v>33.5</v>
      </c>
      <c r="E22" s="4">
        <f t="shared" si="1"/>
        <v>33.5</v>
      </c>
      <c r="F22" s="4">
        <f t="shared" si="2"/>
        <v>1122.25</v>
      </c>
      <c r="G22" s="5">
        <f t="shared" si="3"/>
        <v>0.98529411764705888</v>
      </c>
    </row>
    <row r="23" spans="1:7" ht="15.75" customHeight="1">
      <c r="A23" s="3">
        <v>21572</v>
      </c>
      <c r="B23" s="4">
        <v>53</v>
      </c>
      <c r="C23" s="4">
        <v>0.5</v>
      </c>
      <c r="D23" s="4">
        <f t="shared" si="0"/>
        <v>52.5</v>
      </c>
      <c r="E23" s="4">
        <f t="shared" si="1"/>
        <v>52.5</v>
      </c>
      <c r="F23" s="4">
        <f t="shared" si="2"/>
        <v>2756.25</v>
      </c>
      <c r="G23" s="5">
        <f t="shared" si="3"/>
        <v>0.99056603773584906</v>
      </c>
    </row>
    <row r="24" spans="1:7" ht="15.75" customHeight="1">
      <c r="A24" s="3">
        <v>21573</v>
      </c>
      <c r="B24" s="4">
        <v>39</v>
      </c>
      <c r="C24" s="4">
        <v>0.5</v>
      </c>
      <c r="D24" s="4">
        <f t="shared" si="0"/>
        <v>38.5</v>
      </c>
      <c r="E24" s="4">
        <f t="shared" si="1"/>
        <v>38.5</v>
      </c>
      <c r="F24" s="4">
        <f t="shared" si="2"/>
        <v>1482.25</v>
      </c>
      <c r="G24" s="5">
        <f t="shared" si="3"/>
        <v>0.98717948717948723</v>
      </c>
    </row>
    <row r="25" spans="1:7" ht="15.75" customHeight="1">
      <c r="A25" s="3">
        <v>21574</v>
      </c>
      <c r="B25" s="4">
        <v>32</v>
      </c>
      <c r="C25" s="4">
        <v>0.5</v>
      </c>
      <c r="D25" s="4">
        <f t="shared" si="0"/>
        <v>31.5</v>
      </c>
      <c r="E25" s="4">
        <f t="shared" si="1"/>
        <v>31.5</v>
      </c>
      <c r="F25" s="4">
        <f t="shared" si="2"/>
        <v>992.25</v>
      </c>
      <c r="G25" s="5">
        <f t="shared" si="3"/>
        <v>0.984375</v>
      </c>
    </row>
    <row r="26" spans="1:7" ht="15.75" customHeight="1">
      <c r="A26" s="3">
        <v>21575</v>
      </c>
      <c r="B26" s="4">
        <v>37</v>
      </c>
      <c r="C26" s="4">
        <v>0.5</v>
      </c>
      <c r="D26" s="4">
        <f t="shared" si="0"/>
        <v>36.5</v>
      </c>
      <c r="E26" s="4">
        <f t="shared" si="1"/>
        <v>36.5</v>
      </c>
      <c r="F26" s="4">
        <f t="shared" si="2"/>
        <v>1332.25</v>
      </c>
      <c r="G26" s="5">
        <f t="shared" si="3"/>
        <v>0.98648648648648651</v>
      </c>
    </row>
    <row r="27" spans="1:7" ht="15.75" customHeight="1">
      <c r="A27" s="3">
        <v>21576</v>
      </c>
      <c r="B27" s="4">
        <v>43</v>
      </c>
      <c r="C27" s="4">
        <v>0.5</v>
      </c>
      <c r="D27" s="4">
        <f t="shared" si="0"/>
        <v>42.5</v>
      </c>
      <c r="E27" s="4">
        <f t="shared" si="1"/>
        <v>42.5</v>
      </c>
      <c r="F27" s="4">
        <f t="shared" si="2"/>
        <v>1806.25</v>
      </c>
      <c r="G27" s="5">
        <f t="shared" si="3"/>
        <v>0.98837209302325579</v>
      </c>
    </row>
    <row r="28" spans="1:7" ht="15.75" customHeight="1">
      <c r="A28" s="3">
        <v>21577</v>
      </c>
      <c r="B28" s="4">
        <v>39</v>
      </c>
      <c r="C28" s="4">
        <v>0.5</v>
      </c>
      <c r="D28" s="4">
        <f t="shared" si="0"/>
        <v>38.5</v>
      </c>
      <c r="E28" s="4">
        <f t="shared" si="1"/>
        <v>38.5</v>
      </c>
      <c r="F28" s="4">
        <f t="shared" si="2"/>
        <v>1482.25</v>
      </c>
      <c r="G28" s="5">
        <f t="shared" si="3"/>
        <v>0.98717948717948723</v>
      </c>
    </row>
    <row r="29" spans="1:7" ht="15.75" customHeight="1">
      <c r="A29" s="3">
        <v>21578</v>
      </c>
      <c r="B29" s="4">
        <v>35</v>
      </c>
      <c r="C29" s="4">
        <v>0.5</v>
      </c>
      <c r="D29" s="4">
        <f t="shared" si="0"/>
        <v>34.5</v>
      </c>
      <c r="E29" s="4">
        <f t="shared" si="1"/>
        <v>34.5</v>
      </c>
      <c r="F29" s="4">
        <f t="shared" si="2"/>
        <v>1190.25</v>
      </c>
      <c r="G29" s="5">
        <f t="shared" si="3"/>
        <v>0.98571428571428577</v>
      </c>
    </row>
    <row r="30" spans="1:7" ht="15.75" customHeight="1">
      <c r="A30" s="3">
        <v>21579</v>
      </c>
      <c r="B30" s="4">
        <v>44</v>
      </c>
      <c r="C30" s="4">
        <v>0.5</v>
      </c>
      <c r="D30" s="4">
        <f t="shared" si="0"/>
        <v>43.5</v>
      </c>
      <c r="E30" s="4">
        <f t="shared" si="1"/>
        <v>43.5</v>
      </c>
      <c r="F30" s="4">
        <f t="shared" si="2"/>
        <v>1892.25</v>
      </c>
      <c r="G30" s="5">
        <f t="shared" si="3"/>
        <v>0.98863636363636365</v>
      </c>
    </row>
    <row r="31" spans="1:7" ht="15.75" customHeight="1">
      <c r="A31" s="3">
        <v>21580</v>
      </c>
      <c r="B31" s="4">
        <v>38</v>
      </c>
      <c r="C31" s="4">
        <v>0.5</v>
      </c>
      <c r="D31" s="4">
        <f t="shared" si="0"/>
        <v>37.5</v>
      </c>
      <c r="E31" s="4">
        <f t="shared" si="1"/>
        <v>37.5</v>
      </c>
      <c r="F31" s="4">
        <f t="shared" si="2"/>
        <v>1406.25</v>
      </c>
      <c r="G31" s="5">
        <f t="shared" si="3"/>
        <v>0.98684210526315785</v>
      </c>
    </row>
    <row r="32" spans="1:7" ht="15.75" customHeight="1">
      <c r="A32" s="3">
        <v>21581</v>
      </c>
      <c r="B32" s="4">
        <v>24</v>
      </c>
      <c r="C32" s="4">
        <v>0.5</v>
      </c>
      <c r="D32" s="4">
        <f t="shared" si="0"/>
        <v>23.5</v>
      </c>
      <c r="E32" s="4">
        <f t="shared" si="1"/>
        <v>23.5</v>
      </c>
      <c r="F32" s="4">
        <f t="shared" si="2"/>
        <v>552.25</v>
      </c>
      <c r="G32" s="5">
        <f t="shared" si="3"/>
        <v>0.97916666666666663</v>
      </c>
    </row>
    <row r="33" spans="1:7" ht="15.75" customHeight="1">
      <c r="A33" s="3">
        <v>21582</v>
      </c>
      <c r="B33" s="4">
        <v>23</v>
      </c>
      <c r="C33" s="4">
        <v>0.5</v>
      </c>
      <c r="D33" s="4">
        <f t="shared" si="0"/>
        <v>22.5</v>
      </c>
      <c r="E33" s="4">
        <f t="shared" si="1"/>
        <v>22.5</v>
      </c>
      <c r="F33" s="4">
        <f t="shared" si="2"/>
        <v>506.25</v>
      </c>
      <c r="G33" s="5">
        <f t="shared" si="3"/>
        <v>0.97826086956521741</v>
      </c>
    </row>
    <row r="34" spans="1:7" ht="15.75" customHeight="1">
      <c r="A34" s="3">
        <v>21583</v>
      </c>
      <c r="B34" s="4">
        <v>31</v>
      </c>
      <c r="C34" s="4">
        <v>0.5</v>
      </c>
      <c r="D34" s="4">
        <f t="shared" si="0"/>
        <v>30.5</v>
      </c>
      <c r="E34" s="4">
        <f t="shared" si="1"/>
        <v>30.5</v>
      </c>
      <c r="F34" s="4">
        <f t="shared" si="2"/>
        <v>930.25</v>
      </c>
      <c r="G34" s="5">
        <f t="shared" si="3"/>
        <v>0.9838709677419355</v>
      </c>
    </row>
    <row r="35" spans="1:7" ht="15.75" customHeight="1">
      <c r="A35" s="3">
        <v>21584</v>
      </c>
      <c r="B35" s="4">
        <v>44</v>
      </c>
      <c r="C35" s="4">
        <v>0.5</v>
      </c>
      <c r="D35" s="4">
        <f t="shared" si="0"/>
        <v>43.5</v>
      </c>
      <c r="E35" s="4">
        <f t="shared" si="1"/>
        <v>43.5</v>
      </c>
      <c r="F35" s="4">
        <f t="shared" si="2"/>
        <v>1892.25</v>
      </c>
      <c r="G35" s="5">
        <f t="shared" si="3"/>
        <v>0.98863636363636365</v>
      </c>
    </row>
    <row r="36" spans="1:7" ht="15.75" customHeight="1">
      <c r="A36" s="3">
        <v>21585</v>
      </c>
      <c r="B36" s="4">
        <v>38</v>
      </c>
      <c r="C36" s="4">
        <v>0.5</v>
      </c>
      <c r="D36" s="4">
        <f t="shared" si="0"/>
        <v>37.5</v>
      </c>
      <c r="E36" s="4">
        <f t="shared" si="1"/>
        <v>37.5</v>
      </c>
      <c r="F36" s="4">
        <f t="shared" si="2"/>
        <v>1406.25</v>
      </c>
      <c r="G36" s="5">
        <f t="shared" si="3"/>
        <v>0.98684210526315785</v>
      </c>
    </row>
    <row r="37" spans="1:7" ht="15.75" customHeight="1">
      <c r="A37" s="3">
        <v>21586</v>
      </c>
      <c r="B37" s="4">
        <v>50</v>
      </c>
      <c r="C37" s="4">
        <v>0.5</v>
      </c>
      <c r="D37" s="4">
        <f t="shared" si="0"/>
        <v>49.5</v>
      </c>
      <c r="E37" s="4">
        <f t="shared" si="1"/>
        <v>49.5</v>
      </c>
      <c r="F37" s="4">
        <f t="shared" si="2"/>
        <v>2450.25</v>
      </c>
      <c r="G37" s="5">
        <f t="shared" si="3"/>
        <v>0.99</v>
      </c>
    </row>
    <row r="38" spans="1:7" ht="15.75" customHeight="1">
      <c r="A38" s="3">
        <v>21587</v>
      </c>
      <c r="B38" s="4">
        <v>38</v>
      </c>
      <c r="C38" s="4">
        <v>0.5</v>
      </c>
      <c r="D38" s="4">
        <f t="shared" si="0"/>
        <v>37.5</v>
      </c>
      <c r="E38" s="4">
        <f t="shared" si="1"/>
        <v>37.5</v>
      </c>
      <c r="F38" s="4">
        <f t="shared" si="2"/>
        <v>1406.25</v>
      </c>
      <c r="G38" s="5">
        <f t="shared" si="3"/>
        <v>0.98684210526315785</v>
      </c>
    </row>
    <row r="39" spans="1:7" ht="15.75" customHeight="1">
      <c r="A39" s="3">
        <v>21588</v>
      </c>
      <c r="B39" s="4">
        <v>51</v>
      </c>
      <c r="C39" s="4">
        <v>0.5</v>
      </c>
      <c r="D39" s="4">
        <f t="shared" si="0"/>
        <v>50.5</v>
      </c>
      <c r="E39" s="4">
        <f t="shared" si="1"/>
        <v>50.5</v>
      </c>
      <c r="F39" s="4">
        <f t="shared" si="2"/>
        <v>2550.25</v>
      </c>
      <c r="G39" s="5">
        <f t="shared" si="3"/>
        <v>0.99019607843137258</v>
      </c>
    </row>
    <row r="40" spans="1:7" ht="15.75" customHeight="1">
      <c r="A40" s="3">
        <v>21589</v>
      </c>
      <c r="B40" s="4">
        <v>31</v>
      </c>
      <c r="C40" s="4">
        <v>0.5</v>
      </c>
      <c r="D40" s="4">
        <f t="shared" si="0"/>
        <v>30.5</v>
      </c>
      <c r="E40" s="4">
        <f t="shared" si="1"/>
        <v>30.5</v>
      </c>
      <c r="F40" s="4">
        <f t="shared" si="2"/>
        <v>930.25</v>
      </c>
      <c r="G40" s="5">
        <f t="shared" si="3"/>
        <v>0.9838709677419355</v>
      </c>
    </row>
    <row r="41" spans="1:7" ht="15.75" customHeight="1">
      <c r="A41" s="3">
        <v>21590</v>
      </c>
      <c r="B41" s="4">
        <v>31</v>
      </c>
      <c r="C41" s="4">
        <v>0.5</v>
      </c>
      <c r="D41" s="4">
        <f t="shared" si="0"/>
        <v>30.5</v>
      </c>
      <c r="E41" s="4">
        <f t="shared" si="1"/>
        <v>30.5</v>
      </c>
      <c r="F41" s="4">
        <f t="shared" si="2"/>
        <v>930.25</v>
      </c>
      <c r="G41" s="5">
        <f t="shared" si="3"/>
        <v>0.9838709677419355</v>
      </c>
    </row>
    <row r="42" spans="1:7" ht="15.75" customHeight="1">
      <c r="A42" s="3">
        <v>21591</v>
      </c>
      <c r="B42" s="4">
        <v>51</v>
      </c>
      <c r="C42" s="4">
        <v>0.5</v>
      </c>
      <c r="D42" s="4">
        <f t="shared" si="0"/>
        <v>50.5</v>
      </c>
      <c r="E42" s="4">
        <f t="shared" si="1"/>
        <v>50.5</v>
      </c>
      <c r="F42" s="4">
        <f t="shared" si="2"/>
        <v>2550.25</v>
      </c>
      <c r="G42" s="5">
        <f t="shared" si="3"/>
        <v>0.99019607843137258</v>
      </c>
    </row>
    <row r="43" spans="1:7" ht="15.75" customHeight="1">
      <c r="A43" s="3">
        <v>21592</v>
      </c>
      <c r="B43" s="4">
        <v>36</v>
      </c>
      <c r="C43" s="4">
        <v>0.5</v>
      </c>
      <c r="D43" s="4">
        <f t="shared" si="0"/>
        <v>35.5</v>
      </c>
      <c r="E43" s="4">
        <f t="shared" si="1"/>
        <v>35.5</v>
      </c>
      <c r="F43" s="4">
        <f t="shared" si="2"/>
        <v>1260.25</v>
      </c>
      <c r="G43" s="5">
        <f t="shared" si="3"/>
        <v>0.98611111111111116</v>
      </c>
    </row>
    <row r="44" spans="1:7" ht="15.75" customHeight="1">
      <c r="A44" s="3">
        <v>21593</v>
      </c>
      <c r="B44" s="4">
        <v>45</v>
      </c>
      <c r="C44" s="4">
        <v>0.5</v>
      </c>
      <c r="D44" s="4">
        <f t="shared" si="0"/>
        <v>44.5</v>
      </c>
      <c r="E44" s="4">
        <f t="shared" si="1"/>
        <v>44.5</v>
      </c>
      <c r="F44" s="4">
        <f t="shared" si="2"/>
        <v>1980.25</v>
      </c>
      <c r="G44" s="5">
        <f t="shared" si="3"/>
        <v>0.98888888888888893</v>
      </c>
    </row>
    <row r="45" spans="1:7" ht="15.75" customHeight="1">
      <c r="A45" s="3">
        <v>21594</v>
      </c>
      <c r="B45" s="4">
        <v>51</v>
      </c>
      <c r="C45" s="4">
        <v>0.5</v>
      </c>
      <c r="D45" s="4">
        <f t="shared" si="0"/>
        <v>50.5</v>
      </c>
      <c r="E45" s="4">
        <f t="shared" si="1"/>
        <v>50.5</v>
      </c>
      <c r="F45" s="4">
        <f t="shared" si="2"/>
        <v>2550.25</v>
      </c>
      <c r="G45" s="5">
        <f t="shared" si="3"/>
        <v>0.99019607843137258</v>
      </c>
    </row>
    <row r="46" spans="1:7" ht="15.75" customHeight="1">
      <c r="A46" s="3">
        <v>21595</v>
      </c>
      <c r="B46" s="4">
        <v>34</v>
      </c>
      <c r="C46" s="4">
        <v>0.5</v>
      </c>
      <c r="D46" s="4">
        <f t="shared" si="0"/>
        <v>33.5</v>
      </c>
      <c r="E46" s="4">
        <f t="shared" si="1"/>
        <v>33.5</v>
      </c>
      <c r="F46" s="4">
        <f t="shared" si="2"/>
        <v>1122.25</v>
      </c>
      <c r="G46" s="5">
        <f t="shared" si="3"/>
        <v>0.98529411764705888</v>
      </c>
    </row>
    <row r="47" spans="1:7" ht="15.75" customHeight="1">
      <c r="A47" s="3">
        <v>21596</v>
      </c>
      <c r="B47" s="4">
        <v>52</v>
      </c>
      <c r="C47" s="4">
        <v>0.5</v>
      </c>
      <c r="D47" s="4">
        <f t="shared" si="0"/>
        <v>51.5</v>
      </c>
      <c r="E47" s="4">
        <f t="shared" si="1"/>
        <v>51.5</v>
      </c>
      <c r="F47" s="4">
        <f t="shared" si="2"/>
        <v>2652.25</v>
      </c>
      <c r="G47" s="5">
        <f t="shared" si="3"/>
        <v>0.99038461538461542</v>
      </c>
    </row>
    <row r="48" spans="1:7" ht="15.75" customHeight="1">
      <c r="A48" s="3">
        <v>21597</v>
      </c>
      <c r="B48" s="4">
        <v>47</v>
      </c>
      <c r="C48" s="4">
        <v>0.5</v>
      </c>
      <c r="D48" s="4">
        <f t="shared" si="0"/>
        <v>46.5</v>
      </c>
      <c r="E48" s="4">
        <f t="shared" si="1"/>
        <v>46.5</v>
      </c>
      <c r="F48" s="4">
        <f t="shared" si="2"/>
        <v>2162.25</v>
      </c>
      <c r="G48" s="5">
        <f t="shared" si="3"/>
        <v>0.98936170212765961</v>
      </c>
    </row>
    <row r="49" spans="1:7" ht="15.75" customHeight="1">
      <c r="A49" s="3">
        <v>21598</v>
      </c>
      <c r="B49" s="4">
        <v>45</v>
      </c>
      <c r="C49" s="4">
        <v>0.5</v>
      </c>
      <c r="D49" s="4">
        <f t="shared" si="0"/>
        <v>44.5</v>
      </c>
      <c r="E49" s="4">
        <f t="shared" si="1"/>
        <v>44.5</v>
      </c>
      <c r="F49" s="4">
        <f t="shared" si="2"/>
        <v>1980.25</v>
      </c>
      <c r="G49" s="5">
        <f t="shared" si="3"/>
        <v>0.98888888888888893</v>
      </c>
    </row>
    <row r="50" spans="1:7" ht="15.75" customHeight="1">
      <c r="A50" s="3">
        <v>21599</v>
      </c>
      <c r="B50" s="4">
        <v>46</v>
      </c>
      <c r="C50" s="4">
        <v>0.5</v>
      </c>
      <c r="D50" s="4">
        <f t="shared" si="0"/>
        <v>45.5</v>
      </c>
      <c r="E50" s="4">
        <f t="shared" si="1"/>
        <v>45.5</v>
      </c>
      <c r="F50" s="4">
        <f t="shared" si="2"/>
        <v>2070.25</v>
      </c>
      <c r="G50" s="5">
        <f t="shared" si="3"/>
        <v>0.98913043478260865</v>
      </c>
    </row>
    <row r="51" spans="1:7" ht="15.75" customHeight="1">
      <c r="A51" s="3">
        <v>21600</v>
      </c>
      <c r="B51" s="4">
        <v>39</v>
      </c>
      <c r="C51" s="4">
        <v>0.5</v>
      </c>
      <c r="D51" s="4">
        <f t="shared" si="0"/>
        <v>38.5</v>
      </c>
      <c r="E51" s="4">
        <f t="shared" si="1"/>
        <v>38.5</v>
      </c>
      <c r="F51" s="4">
        <f t="shared" si="2"/>
        <v>1482.25</v>
      </c>
      <c r="G51" s="5">
        <f t="shared" si="3"/>
        <v>0.98717948717948723</v>
      </c>
    </row>
    <row r="52" spans="1:7" ht="15.75" customHeight="1">
      <c r="A52" s="3">
        <v>21601</v>
      </c>
      <c r="B52" s="4">
        <v>48</v>
      </c>
      <c r="C52" s="4">
        <v>0.5</v>
      </c>
      <c r="D52" s="4">
        <f t="shared" si="0"/>
        <v>47.5</v>
      </c>
      <c r="E52" s="4">
        <f t="shared" si="1"/>
        <v>47.5</v>
      </c>
      <c r="F52" s="4">
        <f t="shared" si="2"/>
        <v>2256.25</v>
      </c>
      <c r="G52" s="5">
        <f t="shared" si="3"/>
        <v>0.98958333333333337</v>
      </c>
    </row>
    <row r="53" spans="1:7" ht="15.75" customHeight="1">
      <c r="A53" s="3">
        <v>21602</v>
      </c>
      <c r="B53" s="4">
        <v>37</v>
      </c>
      <c r="C53" s="4">
        <v>0.5</v>
      </c>
      <c r="D53" s="4">
        <f t="shared" si="0"/>
        <v>36.5</v>
      </c>
      <c r="E53" s="4">
        <f t="shared" si="1"/>
        <v>36.5</v>
      </c>
      <c r="F53" s="4">
        <f t="shared" si="2"/>
        <v>1332.25</v>
      </c>
      <c r="G53" s="5">
        <f t="shared" si="3"/>
        <v>0.98648648648648651</v>
      </c>
    </row>
    <row r="54" spans="1:7" ht="15.75" customHeight="1">
      <c r="A54" s="3">
        <v>21603</v>
      </c>
      <c r="B54" s="4">
        <v>35</v>
      </c>
      <c r="C54" s="4">
        <v>0.5</v>
      </c>
      <c r="D54" s="4">
        <f t="shared" si="0"/>
        <v>34.5</v>
      </c>
      <c r="E54" s="4">
        <f t="shared" si="1"/>
        <v>34.5</v>
      </c>
      <c r="F54" s="4">
        <f t="shared" si="2"/>
        <v>1190.25</v>
      </c>
      <c r="G54" s="5">
        <f t="shared" si="3"/>
        <v>0.98571428571428577</v>
      </c>
    </row>
    <row r="55" spans="1:7" ht="15.75" customHeight="1">
      <c r="A55" s="3">
        <v>21604</v>
      </c>
      <c r="B55" s="4">
        <v>52</v>
      </c>
      <c r="C55" s="4">
        <v>0.5</v>
      </c>
      <c r="D55" s="4">
        <f t="shared" si="0"/>
        <v>51.5</v>
      </c>
      <c r="E55" s="4">
        <f t="shared" si="1"/>
        <v>51.5</v>
      </c>
      <c r="F55" s="4">
        <f t="shared" si="2"/>
        <v>2652.25</v>
      </c>
      <c r="G55" s="5">
        <f t="shared" si="3"/>
        <v>0.99038461538461542</v>
      </c>
    </row>
    <row r="56" spans="1:7" ht="15.75" customHeight="1">
      <c r="A56" s="3">
        <v>21605</v>
      </c>
      <c r="B56" s="4">
        <v>42</v>
      </c>
      <c r="C56" s="4">
        <v>0.5</v>
      </c>
      <c r="D56" s="4">
        <f t="shared" si="0"/>
        <v>41.5</v>
      </c>
      <c r="E56" s="4">
        <f t="shared" si="1"/>
        <v>41.5</v>
      </c>
      <c r="F56" s="4">
        <f t="shared" si="2"/>
        <v>1722.25</v>
      </c>
      <c r="G56" s="5">
        <f t="shared" si="3"/>
        <v>0.98809523809523814</v>
      </c>
    </row>
    <row r="57" spans="1:7" ht="15.75" customHeight="1">
      <c r="A57" s="3">
        <v>21606</v>
      </c>
      <c r="B57" s="4">
        <v>45</v>
      </c>
      <c r="C57" s="4">
        <v>0.5</v>
      </c>
      <c r="D57" s="4">
        <f t="shared" si="0"/>
        <v>44.5</v>
      </c>
      <c r="E57" s="4">
        <f t="shared" si="1"/>
        <v>44.5</v>
      </c>
      <c r="F57" s="4">
        <f t="shared" si="2"/>
        <v>1980.25</v>
      </c>
      <c r="G57" s="5">
        <f t="shared" si="3"/>
        <v>0.98888888888888893</v>
      </c>
    </row>
    <row r="58" spans="1:7" ht="15.75" customHeight="1">
      <c r="A58" s="3">
        <v>21607</v>
      </c>
      <c r="B58" s="4">
        <v>39</v>
      </c>
      <c r="C58" s="4">
        <v>0.5</v>
      </c>
      <c r="D58" s="4">
        <f t="shared" si="0"/>
        <v>38.5</v>
      </c>
      <c r="E58" s="4">
        <f t="shared" si="1"/>
        <v>38.5</v>
      </c>
      <c r="F58" s="4">
        <f t="shared" si="2"/>
        <v>1482.25</v>
      </c>
      <c r="G58" s="5">
        <f t="shared" si="3"/>
        <v>0.98717948717948723</v>
      </c>
    </row>
    <row r="59" spans="1:7" ht="15.75" customHeight="1">
      <c r="A59" s="3">
        <v>21608</v>
      </c>
      <c r="B59" s="4">
        <v>37</v>
      </c>
      <c r="C59" s="4">
        <v>0.5</v>
      </c>
      <c r="D59" s="4">
        <f t="shared" si="0"/>
        <v>36.5</v>
      </c>
      <c r="E59" s="4">
        <f t="shared" si="1"/>
        <v>36.5</v>
      </c>
      <c r="F59" s="4">
        <f t="shared" si="2"/>
        <v>1332.25</v>
      </c>
      <c r="G59" s="5">
        <f t="shared" si="3"/>
        <v>0.98648648648648651</v>
      </c>
    </row>
    <row r="60" spans="1:7" ht="15.75" customHeight="1">
      <c r="A60" s="3">
        <v>21609</v>
      </c>
      <c r="B60" s="4">
        <v>30</v>
      </c>
      <c r="C60" s="4">
        <v>0.5</v>
      </c>
      <c r="D60" s="4">
        <f t="shared" si="0"/>
        <v>29.5</v>
      </c>
      <c r="E60" s="4">
        <f t="shared" si="1"/>
        <v>29.5</v>
      </c>
      <c r="F60" s="4">
        <f t="shared" si="2"/>
        <v>870.25</v>
      </c>
      <c r="G60" s="5">
        <f t="shared" si="3"/>
        <v>0.98333333333333328</v>
      </c>
    </row>
    <row r="61" spans="1:7" ht="15.75" customHeight="1">
      <c r="A61" s="3">
        <v>21610</v>
      </c>
      <c r="B61" s="4">
        <v>35</v>
      </c>
      <c r="C61" s="4">
        <v>0.5</v>
      </c>
      <c r="D61" s="4">
        <f t="shared" si="0"/>
        <v>34.5</v>
      </c>
      <c r="E61" s="4">
        <f t="shared" si="1"/>
        <v>34.5</v>
      </c>
      <c r="F61" s="4">
        <f t="shared" si="2"/>
        <v>1190.25</v>
      </c>
      <c r="G61" s="5">
        <f t="shared" si="3"/>
        <v>0.98571428571428577</v>
      </c>
    </row>
    <row r="62" spans="1:7" ht="15.75" customHeight="1">
      <c r="A62" s="3">
        <v>21611</v>
      </c>
      <c r="B62" s="4">
        <v>28</v>
      </c>
      <c r="C62" s="4">
        <v>0.5</v>
      </c>
      <c r="D62" s="4">
        <f t="shared" si="0"/>
        <v>27.5</v>
      </c>
      <c r="E62" s="4">
        <f t="shared" si="1"/>
        <v>27.5</v>
      </c>
      <c r="F62" s="4">
        <f t="shared" si="2"/>
        <v>756.25</v>
      </c>
      <c r="G62" s="5">
        <f t="shared" si="3"/>
        <v>0.9821428571428571</v>
      </c>
    </row>
    <row r="63" spans="1:7" ht="15.75" customHeight="1">
      <c r="A63" s="3">
        <v>21612</v>
      </c>
      <c r="B63" s="4">
        <v>45</v>
      </c>
      <c r="C63" s="4">
        <v>0.5</v>
      </c>
      <c r="D63" s="4">
        <f t="shared" si="0"/>
        <v>44.5</v>
      </c>
      <c r="E63" s="4">
        <f t="shared" si="1"/>
        <v>44.5</v>
      </c>
      <c r="F63" s="4">
        <f t="shared" si="2"/>
        <v>1980.25</v>
      </c>
      <c r="G63" s="5">
        <f t="shared" si="3"/>
        <v>0.98888888888888893</v>
      </c>
    </row>
    <row r="64" spans="1:7" ht="15.75" customHeight="1">
      <c r="A64" s="3">
        <v>21613</v>
      </c>
      <c r="B64" s="4">
        <v>34</v>
      </c>
      <c r="C64" s="4">
        <v>0.5</v>
      </c>
      <c r="D64" s="4">
        <f t="shared" si="0"/>
        <v>33.5</v>
      </c>
      <c r="E64" s="4">
        <f t="shared" si="1"/>
        <v>33.5</v>
      </c>
      <c r="F64" s="4">
        <f t="shared" si="2"/>
        <v>1122.25</v>
      </c>
      <c r="G64" s="5">
        <f t="shared" si="3"/>
        <v>0.98529411764705888</v>
      </c>
    </row>
    <row r="65" spans="1:7" ht="15.75" customHeight="1">
      <c r="A65" s="3">
        <v>21614</v>
      </c>
      <c r="B65" s="4">
        <v>36</v>
      </c>
      <c r="C65" s="4">
        <v>0.5</v>
      </c>
      <c r="D65" s="4">
        <f t="shared" si="0"/>
        <v>35.5</v>
      </c>
      <c r="E65" s="4">
        <f t="shared" si="1"/>
        <v>35.5</v>
      </c>
      <c r="F65" s="4">
        <f t="shared" si="2"/>
        <v>1260.25</v>
      </c>
      <c r="G65" s="5">
        <f t="shared" si="3"/>
        <v>0.98611111111111116</v>
      </c>
    </row>
    <row r="66" spans="1:7" ht="15.75" customHeight="1">
      <c r="A66" s="3">
        <v>21615</v>
      </c>
      <c r="B66" s="4">
        <v>50</v>
      </c>
      <c r="C66" s="4">
        <v>0.5</v>
      </c>
      <c r="D66" s="4">
        <f t="shared" si="0"/>
        <v>49.5</v>
      </c>
      <c r="E66" s="4">
        <f t="shared" si="1"/>
        <v>49.5</v>
      </c>
      <c r="F66" s="4">
        <f t="shared" si="2"/>
        <v>2450.25</v>
      </c>
      <c r="G66" s="5">
        <f t="shared" si="3"/>
        <v>0.99</v>
      </c>
    </row>
    <row r="67" spans="1:7" ht="15.75" customHeight="1">
      <c r="A67" s="3">
        <v>21616</v>
      </c>
      <c r="B67" s="4">
        <v>44</v>
      </c>
      <c r="C67" s="4">
        <v>0.5</v>
      </c>
      <c r="D67" s="4">
        <f t="shared" ref="D67:D130" si="4">B67-C67</f>
        <v>43.5</v>
      </c>
      <c r="E67" s="4">
        <f t="shared" ref="E67:E130" si="5">ABS(D67)</f>
        <v>43.5</v>
      </c>
      <c r="F67" s="4">
        <f t="shared" ref="F67:F130" si="6">E67^2</f>
        <v>1892.25</v>
      </c>
      <c r="G67" s="5">
        <f t="shared" ref="G67:G130" si="7">E67/B67</f>
        <v>0.98863636363636365</v>
      </c>
    </row>
    <row r="68" spans="1:7" ht="15.75" customHeight="1">
      <c r="A68" s="3">
        <v>21617</v>
      </c>
      <c r="B68" s="4">
        <v>39</v>
      </c>
      <c r="C68" s="4">
        <v>0.5</v>
      </c>
      <c r="D68" s="4">
        <f t="shared" si="4"/>
        <v>38.5</v>
      </c>
      <c r="E68" s="4">
        <f t="shared" si="5"/>
        <v>38.5</v>
      </c>
      <c r="F68" s="4">
        <f t="shared" si="6"/>
        <v>1482.25</v>
      </c>
      <c r="G68" s="5">
        <f t="shared" si="7"/>
        <v>0.98717948717948723</v>
      </c>
    </row>
    <row r="69" spans="1:7" ht="15.75" customHeight="1">
      <c r="A69" s="3">
        <v>21618</v>
      </c>
      <c r="B69" s="4">
        <v>32</v>
      </c>
      <c r="C69" s="4">
        <v>0.5</v>
      </c>
      <c r="D69" s="4">
        <f t="shared" si="4"/>
        <v>31.5</v>
      </c>
      <c r="E69" s="4">
        <f t="shared" si="5"/>
        <v>31.5</v>
      </c>
      <c r="F69" s="4">
        <f t="shared" si="6"/>
        <v>992.25</v>
      </c>
      <c r="G69" s="5">
        <f t="shared" si="7"/>
        <v>0.984375</v>
      </c>
    </row>
    <row r="70" spans="1:7" ht="15.75" customHeight="1">
      <c r="A70" s="3">
        <v>21619</v>
      </c>
      <c r="B70" s="4">
        <v>39</v>
      </c>
      <c r="C70" s="4">
        <v>0.5</v>
      </c>
      <c r="D70" s="4">
        <f t="shared" si="4"/>
        <v>38.5</v>
      </c>
      <c r="E70" s="4">
        <f t="shared" si="5"/>
        <v>38.5</v>
      </c>
      <c r="F70" s="4">
        <f t="shared" si="6"/>
        <v>1482.25</v>
      </c>
      <c r="G70" s="5">
        <f t="shared" si="7"/>
        <v>0.98717948717948723</v>
      </c>
    </row>
    <row r="71" spans="1:7" ht="15.75" customHeight="1">
      <c r="A71" s="3">
        <v>21620</v>
      </c>
      <c r="B71" s="4">
        <v>45</v>
      </c>
      <c r="C71" s="4">
        <v>0.5</v>
      </c>
      <c r="D71" s="4">
        <f t="shared" si="4"/>
        <v>44.5</v>
      </c>
      <c r="E71" s="4">
        <f t="shared" si="5"/>
        <v>44.5</v>
      </c>
      <c r="F71" s="4">
        <f t="shared" si="6"/>
        <v>1980.25</v>
      </c>
      <c r="G71" s="5">
        <f t="shared" si="7"/>
        <v>0.98888888888888893</v>
      </c>
    </row>
    <row r="72" spans="1:7" ht="15.75" customHeight="1">
      <c r="A72" s="3">
        <v>21621</v>
      </c>
      <c r="B72" s="4">
        <v>43</v>
      </c>
      <c r="C72" s="4">
        <v>0.5</v>
      </c>
      <c r="D72" s="4">
        <f t="shared" si="4"/>
        <v>42.5</v>
      </c>
      <c r="E72" s="4">
        <f t="shared" si="5"/>
        <v>42.5</v>
      </c>
      <c r="F72" s="4">
        <f t="shared" si="6"/>
        <v>1806.25</v>
      </c>
      <c r="G72" s="5">
        <f t="shared" si="7"/>
        <v>0.98837209302325579</v>
      </c>
    </row>
    <row r="73" spans="1:7" ht="15.75" customHeight="1">
      <c r="A73" s="3">
        <v>21622</v>
      </c>
      <c r="B73" s="4">
        <v>39</v>
      </c>
      <c r="C73" s="4">
        <v>0.5</v>
      </c>
      <c r="D73" s="4">
        <f t="shared" si="4"/>
        <v>38.5</v>
      </c>
      <c r="E73" s="4">
        <f t="shared" si="5"/>
        <v>38.5</v>
      </c>
      <c r="F73" s="4">
        <f t="shared" si="6"/>
        <v>1482.25</v>
      </c>
      <c r="G73" s="5">
        <f t="shared" si="7"/>
        <v>0.98717948717948723</v>
      </c>
    </row>
    <row r="74" spans="1:7" ht="15.75" customHeight="1">
      <c r="A74" s="3">
        <v>21623</v>
      </c>
      <c r="B74" s="4">
        <v>31</v>
      </c>
      <c r="C74" s="4">
        <v>0.5</v>
      </c>
      <c r="D74" s="4">
        <f t="shared" si="4"/>
        <v>30.5</v>
      </c>
      <c r="E74" s="4">
        <f t="shared" si="5"/>
        <v>30.5</v>
      </c>
      <c r="F74" s="4">
        <f t="shared" si="6"/>
        <v>930.25</v>
      </c>
      <c r="G74" s="5">
        <f t="shared" si="7"/>
        <v>0.9838709677419355</v>
      </c>
    </row>
    <row r="75" spans="1:7" ht="15.75" customHeight="1">
      <c r="A75" s="3">
        <v>21624</v>
      </c>
      <c r="B75" s="4">
        <v>27</v>
      </c>
      <c r="C75" s="4">
        <v>0.5</v>
      </c>
      <c r="D75" s="4">
        <f t="shared" si="4"/>
        <v>26.5</v>
      </c>
      <c r="E75" s="4">
        <f t="shared" si="5"/>
        <v>26.5</v>
      </c>
      <c r="F75" s="4">
        <f t="shared" si="6"/>
        <v>702.25</v>
      </c>
      <c r="G75" s="5">
        <f t="shared" si="7"/>
        <v>0.98148148148148151</v>
      </c>
    </row>
    <row r="76" spans="1:7" ht="15.75" customHeight="1">
      <c r="A76" s="3">
        <v>21625</v>
      </c>
      <c r="B76" s="4">
        <v>30</v>
      </c>
      <c r="C76" s="4">
        <v>0.5</v>
      </c>
      <c r="D76" s="4">
        <f t="shared" si="4"/>
        <v>29.5</v>
      </c>
      <c r="E76" s="4">
        <f t="shared" si="5"/>
        <v>29.5</v>
      </c>
      <c r="F76" s="4">
        <f t="shared" si="6"/>
        <v>870.25</v>
      </c>
      <c r="G76" s="5">
        <f t="shared" si="7"/>
        <v>0.98333333333333328</v>
      </c>
    </row>
    <row r="77" spans="1:7" ht="15.75" customHeight="1">
      <c r="A77" s="3">
        <v>21626</v>
      </c>
      <c r="B77" s="4">
        <v>42</v>
      </c>
      <c r="C77" s="4">
        <v>0.5</v>
      </c>
      <c r="D77" s="4">
        <f t="shared" si="4"/>
        <v>41.5</v>
      </c>
      <c r="E77" s="4">
        <f t="shared" si="5"/>
        <v>41.5</v>
      </c>
      <c r="F77" s="4">
        <f t="shared" si="6"/>
        <v>1722.25</v>
      </c>
      <c r="G77" s="5">
        <f t="shared" si="7"/>
        <v>0.98809523809523814</v>
      </c>
    </row>
    <row r="78" spans="1:7" ht="15.75" customHeight="1">
      <c r="A78" s="3">
        <v>21627</v>
      </c>
      <c r="B78" s="4">
        <v>46</v>
      </c>
      <c r="C78" s="4">
        <v>0.5</v>
      </c>
      <c r="D78" s="4">
        <f t="shared" si="4"/>
        <v>45.5</v>
      </c>
      <c r="E78" s="4">
        <f t="shared" si="5"/>
        <v>45.5</v>
      </c>
      <c r="F78" s="4">
        <f t="shared" si="6"/>
        <v>2070.25</v>
      </c>
      <c r="G78" s="5">
        <f t="shared" si="7"/>
        <v>0.98913043478260865</v>
      </c>
    </row>
    <row r="79" spans="1:7" ht="15.75" customHeight="1">
      <c r="A79" s="3">
        <v>21628</v>
      </c>
      <c r="B79" s="4">
        <v>41</v>
      </c>
      <c r="C79" s="4">
        <v>0.5</v>
      </c>
      <c r="D79" s="4">
        <f t="shared" si="4"/>
        <v>40.5</v>
      </c>
      <c r="E79" s="4">
        <f t="shared" si="5"/>
        <v>40.5</v>
      </c>
      <c r="F79" s="4">
        <f t="shared" si="6"/>
        <v>1640.25</v>
      </c>
      <c r="G79" s="5">
        <f t="shared" si="7"/>
        <v>0.98780487804878048</v>
      </c>
    </row>
    <row r="80" spans="1:7" ht="15.75" customHeight="1">
      <c r="A80" s="3">
        <v>21629</v>
      </c>
      <c r="B80" s="4">
        <v>36</v>
      </c>
      <c r="C80" s="4">
        <v>0.5</v>
      </c>
      <c r="D80" s="4">
        <f t="shared" si="4"/>
        <v>35.5</v>
      </c>
      <c r="E80" s="4">
        <f t="shared" si="5"/>
        <v>35.5</v>
      </c>
      <c r="F80" s="4">
        <f t="shared" si="6"/>
        <v>1260.25</v>
      </c>
      <c r="G80" s="5">
        <f t="shared" si="7"/>
        <v>0.98611111111111116</v>
      </c>
    </row>
    <row r="81" spans="1:7" ht="15.75" customHeight="1">
      <c r="A81" s="3">
        <v>21630</v>
      </c>
      <c r="B81" s="4">
        <v>45</v>
      </c>
      <c r="C81" s="4">
        <v>0.5</v>
      </c>
      <c r="D81" s="4">
        <f t="shared" si="4"/>
        <v>44.5</v>
      </c>
      <c r="E81" s="4">
        <f t="shared" si="5"/>
        <v>44.5</v>
      </c>
      <c r="F81" s="4">
        <f t="shared" si="6"/>
        <v>1980.25</v>
      </c>
      <c r="G81" s="5">
        <f t="shared" si="7"/>
        <v>0.98888888888888893</v>
      </c>
    </row>
    <row r="82" spans="1:7" ht="15.75" customHeight="1">
      <c r="A82" s="3">
        <v>21631</v>
      </c>
      <c r="B82" s="4">
        <v>46</v>
      </c>
      <c r="C82" s="4">
        <v>0.5</v>
      </c>
      <c r="D82" s="4">
        <f t="shared" si="4"/>
        <v>45.5</v>
      </c>
      <c r="E82" s="4">
        <f t="shared" si="5"/>
        <v>45.5</v>
      </c>
      <c r="F82" s="4">
        <f t="shared" si="6"/>
        <v>2070.25</v>
      </c>
      <c r="G82" s="5">
        <f t="shared" si="7"/>
        <v>0.98913043478260865</v>
      </c>
    </row>
    <row r="83" spans="1:7" ht="15.75" customHeight="1">
      <c r="A83" s="3">
        <v>21632</v>
      </c>
      <c r="B83" s="4">
        <v>43</v>
      </c>
      <c r="C83" s="4">
        <v>0.5</v>
      </c>
      <c r="D83" s="4">
        <f t="shared" si="4"/>
        <v>42.5</v>
      </c>
      <c r="E83" s="4">
        <f t="shared" si="5"/>
        <v>42.5</v>
      </c>
      <c r="F83" s="4">
        <f t="shared" si="6"/>
        <v>1806.25</v>
      </c>
      <c r="G83" s="5">
        <f t="shared" si="7"/>
        <v>0.98837209302325579</v>
      </c>
    </row>
    <row r="84" spans="1:7" ht="15.75" customHeight="1">
      <c r="A84" s="3">
        <v>21633</v>
      </c>
      <c r="B84" s="4">
        <v>38</v>
      </c>
      <c r="C84" s="4">
        <v>0.5</v>
      </c>
      <c r="D84" s="4">
        <f t="shared" si="4"/>
        <v>37.5</v>
      </c>
      <c r="E84" s="4">
        <f t="shared" si="5"/>
        <v>37.5</v>
      </c>
      <c r="F84" s="4">
        <f t="shared" si="6"/>
        <v>1406.25</v>
      </c>
      <c r="G84" s="5">
        <f t="shared" si="7"/>
        <v>0.98684210526315785</v>
      </c>
    </row>
    <row r="85" spans="1:7" ht="15.75" customHeight="1">
      <c r="A85" s="3">
        <v>21634</v>
      </c>
      <c r="B85" s="4">
        <v>34</v>
      </c>
      <c r="C85" s="4">
        <v>0.5</v>
      </c>
      <c r="D85" s="4">
        <f t="shared" si="4"/>
        <v>33.5</v>
      </c>
      <c r="E85" s="4">
        <f t="shared" si="5"/>
        <v>33.5</v>
      </c>
      <c r="F85" s="4">
        <f t="shared" si="6"/>
        <v>1122.25</v>
      </c>
      <c r="G85" s="5">
        <f t="shared" si="7"/>
        <v>0.98529411764705888</v>
      </c>
    </row>
    <row r="86" spans="1:7" ht="15.75" customHeight="1">
      <c r="A86" s="3">
        <v>21635</v>
      </c>
      <c r="B86" s="4">
        <v>35</v>
      </c>
      <c r="C86" s="4">
        <v>0.5</v>
      </c>
      <c r="D86" s="4">
        <f t="shared" si="4"/>
        <v>34.5</v>
      </c>
      <c r="E86" s="4">
        <f t="shared" si="5"/>
        <v>34.5</v>
      </c>
      <c r="F86" s="4">
        <f t="shared" si="6"/>
        <v>1190.25</v>
      </c>
      <c r="G86" s="5">
        <f t="shared" si="7"/>
        <v>0.98571428571428577</v>
      </c>
    </row>
    <row r="87" spans="1:7" ht="15.75" customHeight="1">
      <c r="A87" s="3">
        <v>21636</v>
      </c>
      <c r="B87" s="4">
        <v>56</v>
      </c>
      <c r="C87" s="4">
        <v>0.5</v>
      </c>
      <c r="D87" s="4">
        <f t="shared" si="4"/>
        <v>55.5</v>
      </c>
      <c r="E87" s="4">
        <f t="shared" si="5"/>
        <v>55.5</v>
      </c>
      <c r="F87" s="4">
        <f t="shared" si="6"/>
        <v>3080.25</v>
      </c>
      <c r="G87" s="5">
        <f t="shared" si="7"/>
        <v>0.9910714285714286</v>
      </c>
    </row>
    <row r="88" spans="1:7" ht="15.75" customHeight="1">
      <c r="A88" s="3">
        <v>21637</v>
      </c>
      <c r="B88" s="4">
        <v>36</v>
      </c>
      <c r="C88" s="4">
        <v>0.5</v>
      </c>
      <c r="D88" s="4">
        <f t="shared" si="4"/>
        <v>35.5</v>
      </c>
      <c r="E88" s="4">
        <f t="shared" si="5"/>
        <v>35.5</v>
      </c>
      <c r="F88" s="4">
        <f t="shared" si="6"/>
        <v>1260.25</v>
      </c>
      <c r="G88" s="5">
        <f t="shared" si="7"/>
        <v>0.98611111111111116</v>
      </c>
    </row>
    <row r="89" spans="1:7" ht="15.75" customHeight="1">
      <c r="A89" s="3">
        <v>21638</v>
      </c>
      <c r="B89" s="4">
        <v>32</v>
      </c>
      <c r="C89" s="4">
        <v>0.5</v>
      </c>
      <c r="D89" s="4">
        <f t="shared" si="4"/>
        <v>31.5</v>
      </c>
      <c r="E89" s="4">
        <f t="shared" si="5"/>
        <v>31.5</v>
      </c>
      <c r="F89" s="4">
        <f t="shared" si="6"/>
        <v>992.25</v>
      </c>
      <c r="G89" s="5">
        <f t="shared" si="7"/>
        <v>0.984375</v>
      </c>
    </row>
    <row r="90" spans="1:7" ht="15.75" customHeight="1">
      <c r="A90" s="3">
        <v>21639</v>
      </c>
      <c r="B90" s="4">
        <v>50</v>
      </c>
      <c r="C90" s="4">
        <v>0.5</v>
      </c>
      <c r="D90" s="4">
        <f t="shared" si="4"/>
        <v>49.5</v>
      </c>
      <c r="E90" s="4">
        <f t="shared" si="5"/>
        <v>49.5</v>
      </c>
      <c r="F90" s="4">
        <f t="shared" si="6"/>
        <v>2450.25</v>
      </c>
      <c r="G90" s="5">
        <f t="shared" si="7"/>
        <v>0.99</v>
      </c>
    </row>
    <row r="91" spans="1:7" ht="15.75" customHeight="1">
      <c r="A91" s="3">
        <v>21640</v>
      </c>
      <c r="B91" s="4">
        <v>41</v>
      </c>
      <c r="C91" s="4">
        <v>0.5</v>
      </c>
      <c r="D91" s="4">
        <f t="shared" si="4"/>
        <v>40.5</v>
      </c>
      <c r="E91" s="4">
        <f t="shared" si="5"/>
        <v>40.5</v>
      </c>
      <c r="F91" s="4">
        <f t="shared" si="6"/>
        <v>1640.25</v>
      </c>
      <c r="G91" s="5">
        <f t="shared" si="7"/>
        <v>0.98780487804878048</v>
      </c>
    </row>
    <row r="92" spans="1:7" ht="15.75" customHeight="1">
      <c r="A92" s="3">
        <v>21641</v>
      </c>
      <c r="B92" s="4">
        <v>39</v>
      </c>
      <c r="C92" s="4">
        <v>0.5</v>
      </c>
      <c r="D92" s="4">
        <f t="shared" si="4"/>
        <v>38.5</v>
      </c>
      <c r="E92" s="4">
        <f t="shared" si="5"/>
        <v>38.5</v>
      </c>
      <c r="F92" s="4">
        <f t="shared" si="6"/>
        <v>1482.25</v>
      </c>
      <c r="G92" s="5">
        <f t="shared" si="7"/>
        <v>0.98717948717948723</v>
      </c>
    </row>
    <row r="93" spans="1:7" ht="15.75" customHeight="1">
      <c r="A93" s="3">
        <v>21642</v>
      </c>
      <c r="B93" s="4">
        <v>41</v>
      </c>
      <c r="C93" s="4">
        <v>0.5</v>
      </c>
      <c r="D93" s="4">
        <f t="shared" si="4"/>
        <v>40.5</v>
      </c>
      <c r="E93" s="4">
        <f t="shared" si="5"/>
        <v>40.5</v>
      </c>
      <c r="F93" s="4">
        <f t="shared" si="6"/>
        <v>1640.25</v>
      </c>
      <c r="G93" s="5">
        <f t="shared" si="7"/>
        <v>0.98780487804878048</v>
      </c>
    </row>
    <row r="94" spans="1:7" ht="15.75" customHeight="1">
      <c r="A94" s="3">
        <v>21643</v>
      </c>
      <c r="B94" s="4">
        <v>47</v>
      </c>
      <c r="C94" s="4">
        <v>0.5</v>
      </c>
      <c r="D94" s="4">
        <f t="shared" si="4"/>
        <v>46.5</v>
      </c>
      <c r="E94" s="4">
        <f t="shared" si="5"/>
        <v>46.5</v>
      </c>
      <c r="F94" s="4">
        <f t="shared" si="6"/>
        <v>2162.25</v>
      </c>
      <c r="G94" s="5">
        <f t="shared" si="7"/>
        <v>0.98936170212765961</v>
      </c>
    </row>
    <row r="95" spans="1:7" ht="15.75" customHeight="1">
      <c r="A95" s="3">
        <v>21644</v>
      </c>
      <c r="B95" s="4">
        <v>34</v>
      </c>
      <c r="C95" s="4">
        <v>0.5</v>
      </c>
      <c r="D95" s="4">
        <f t="shared" si="4"/>
        <v>33.5</v>
      </c>
      <c r="E95" s="4">
        <f t="shared" si="5"/>
        <v>33.5</v>
      </c>
      <c r="F95" s="4">
        <f t="shared" si="6"/>
        <v>1122.25</v>
      </c>
      <c r="G95" s="5">
        <f t="shared" si="7"/>
        <v>0.98529411764705888</v>
      </c>
    </row>
    <row r="96" spans="1:7" ht="15.75" customHeight="1">
      <c r="A96" s="3">
        <v>21645</v>
      </c>
      <c r="B96" s="4">
        <v>36</v>
      </c>
      <c r="C96" s="4">
        <v>0.5</v>
      </c>
      <c r="D96" s="4">
        <f t="shared" si="4"/>
        <v>35.5</v>
      </c>
      <c r="E96" s="4">
        <f t="shared" si="5"/>
        <v>35.5</v>
      </c>
      <c r="F96" s="4">
        <f t="shared" si="6"/>
        <v>1260.25</v>
      </c>
      <c r="G96" s="5">
        <f t="shared" si="7"/>
        <v>0.98611111111111116</v>
      </c>
    </row>
    <row r="97" spans="1:7" ht="15.75" customHeight="1">
      <c r="A97" s="3">
        <v>21646</v>
      </c>
      <c r="B97" s="4">
        <v>33</v>
      </c>
      <c r="C97" s="4">
        <v>0.5</v>
      </c>
      <c r="D97" s="4">
        <f t="shared" si="4"/>
        <v>32.5</v>
      </c>
      <c r="E97" s="4">
        <f t="shared" si="5"/>
        <v>32.5</v>
      </c>
      <c r="F97" s="4">
        <f t="shared" si="6"/>
        <v>1056.25</v>
      </c>
      <c r="G97" s="5">
        <f t="shared" si="7"/>
        <v>0.98484848484848486</v>
      </c>
    </row>
    <row r="98" spans="1:7" ht="15.75" customHeight="1">
      <c r="A98" s="3">
        <v>21647</v>
      </c>
      <c r="B98" s="4">
        <v>35</v>
      </c>
      <c r="C98" s="4">
        <v>0.5</v>
      </c>
      <c r="D98" s="4">
        <f t="shared" si="4"/>
        <v>34.5</v>
      </c>
      <c r="E98" s="4">
        <f t="shared" si="5"/>
        <v>34.5</v>
      </c>
      <c r="F98" s="4">
        <f t="shared" si="6"/>
        <v>1190.25</v>
      </c>
      <c r="G98" s="5">
        <f t="shared" si="7"/>
        <v>0.98571428571428577</v>
      </c>
    </row>
    <row r="99" spans="1:7" ht="15.75" customHeight="1">
      <c r="A99" s="3">
        <v>21648</v>
      </c>
      <c r="B99" s="4">
        <v>38</v>
      </c>
      <c r="C99" s="4">
        <v>0.5</v>
      </c>
      <c r="D99" s="4">
        <f t="shared" si="4"/>
        <v>37.5</v>
      </c>
      <c r="E99" s="4">
        <f t="shared" si="5"/>
        <v>37.5</v>
      </c>
      <c r="F99" s="4">
        <f t="shared" si="6"/>
        <v>1406.25</v>
      </c>
      <c r="G99" s="5">
        <f t="shared" si="7"/>
        <v>0.98684210526315785</v>
      </c>
    </row>
    <row r="100" spans="1:7" ht="15.75" customHeight="1">
      <c r="A100" s="3">
        <v>21649</v>
      </c>
      <c r="B100" s="4">
        <v>38</v>
      </c>
      <c r="C100" s="4">
        <v>0.5</v>
      </c>
      <c r="D100" s="4">
        <f t="shared" si="4"/>
        <v>37.5</v>
      </c>
      <c r="E100" s="4">
        <f t="shared" si="5"/>
        <v>37.5</v>
      </c>
      <c r="F100" s="4">
        <f t="shared" si="6"/>
        <v>1406.25</v>
      </c>
      <c r="G100" s="5">
        <f t="shared" si="7"/>
        <v>0.98684210526315785</v>
      </c>
    </row>
    <row r="101" spans="1:7" ht="15.75" customHeight="1">
      <c r="A101" s="3">
        <v>21650</v>
      </c>
      <c r="B101" s="4">
        <v>34</v>
      </c>
      <c r="C101" s="4">
        <v>0.5</v>
      </c>
      <c r="D101" s="4">
        <f t="shared" si="4"/>
        <v>33.5</v>
      </c>
      <c r="E101" s="4">
        <f t="shared" si="5"/>
        <v>33.5</v>
      </c>
      <c r="F101" s="4">
        <f t="shared" si="6"/>
        <v>1122.25</v>
      </c>
      <c r="G101" s="5">
        <f t="shared" si="7"/>
        <v>0.98529411764705888</v>
      </c>
    </row>
    <row r="102" spans="1:7" ht="15.75" customHeight="1">
      <c r="A102" s="3">
        <v>21651</v>
      </c>
      <c r="B102" s="4">
        <v>53</v>
      </c>
      <c r="C102" s="4">
        <v>0.5</v>
      </c>
      <c r="D102" s="4">
        <f t="shared" si="4"/>
        <v>52.5</v>
      </c>
      <c r="E102" s="4">
        <f t="shared" si="5"/>
        <v>52.5</v>
      </c>
      <c r="F102" s="4">
        <f t="shared" si="6"/>
        <v>2756.25</v>
      </c>
      <c r="G102" s="5">
        <f t="shared" si="7"/>
        <v>0.99056603773584906</v>
      </c>
    </row>
    <row r="103" spans="1:7" ht="15.75" customHeight="1">
      <c r="A103" s="3">
        <v>21652</v>
      </c>
      <c r="B103" s="4">
        <v>34</v>
      </c>
      <c r="C103" s="4">
        <v>0.5</v>
      </c>
      <c r="D103" s="4">
        <f t="shared" si="4"/>
        <v>33.5</v>
      </c>
      <c r="E103" s="4">
        <f t="shared" si="5"/>
        <v>33.5</v>
      </c>
      <c r="F103" s="4">
        <f t="shared" si="6"/>
        <v>1122.25</v>
      </c>
      <c r="G103" s="5">
        <f t="shared" si="7"/>
        <v>0.98529411764705888</v>
      </c>
    </row>
    <row r="104" spans="1:7" ht="15.75" customHeight="1">
      <c r="A104" s="3">
        <v>21653</v>
      </c>
      <c r="B104" s="4">
        <v>34</v>
      </c>
      <c r="C104" s="4">
        <v>0.5</v>
      </c>
      <c r="D104" s="4">
        <f t="shared" si="4"/>
        <v>33.5</v>
      </c>
      <c r="E104" s="4">
        <f t="shared" si="5"/>
        <v>33.5</v>
      </c>
      <c r="F104" s="4">
        <f t="shared" si="6"/>
        <v>1122.25</v>
      </c>
      <c r="G104" s="5">
        <f t="shared" si="7"/>
        <v>0.98529411764705888</v>
      </c>
    </row>
    <row r="105" spans="1:7" ht="15.75" customHeight="1">
      <c r="A105" s="3">
        <v>21654</v>
      </c>
      <c r="B105" s="4">
        <v>38</v>
      </c>
      <c r="C105" s="4">
        <v>0.5</v>
      </c>
      <c r="D105" s="4">
        <f t="shared" si="4"/>
        <v>37.5</v>
      </c>
      <c r="E105" s="4">
        <f t="shared" si="5"/>
        <v>37.5</v>
      </c>
      <c r="F105" s="4">
        <f t="shared" si="6"/>
        <v>1406.25</v>
      </c>
      <c r="G105" s="5">
        <f t="shared" si="7"/>
        <v>0.98684210526315785</v>
      </c>
    </row>
    <row r="106" spans="1:7" ht="15.75" customHeight="1">
      <c r="A106" s="3">
        <v>21655</v>
      </c>
      <c r="B106" s="4">
        <v>35</v>
      </c>
      <c r="C106" s="4">
        <v>0.5</v>
      </c>
      <c r="D106" s="4">
        <f t="shared" si="4"/>
        <v>34.5</v>
      </c>
      <c r="E106" s="4">
        <f t="shared" si="5"/>
        <v>34.5</v>
      </c>
      <c r="F106" s="4">
        <f t="shared" si="6"/>
        <v>1190.25</v>
      </c>
      <c r="G106" s="5">
        <f t="shared" si="7"/>
        <v>0.98571428571428577</v>
      </c>
    </row>
    <row r="107" spans="1:7" ht="15.75" customHeight="1">
      <c r="A107" s="3">
        <v>21656</v>
      </c>
      <c r="B107" s="4">
        <v>32</v>
      </c>
      <c r="C107" s="4">
        <v>0.5</v>
      </c>
      <c r="D107" s="4">
        <f t="shared" si="4"/>
        <v>31.5</v>
      </c>
      <c r="E107" s="4">
        <f t="shared" si="5"/>
        <v>31.5</v>
      </c>
      <c r="F107" s="4">
        <f t="shared" si="6"/>
        <v>992.25</v>
      </c>
      <c r="G107" s="5">
        <f t="shared" si="7"/>
        <v>0.984375</v>
      </c>
    </row>
    <row r="108" spans="1:7" ht="15.75" customHeight="1">
      <c r="A108" s="3">
        <v>21657</v>
      </c>
      <c r="B108" s="4">
        <v>42</v>
      </c>
      <c r="C108" s="4">
        <v>0.5</v>
      </c>
      <c r="D108" s="4">
        <f t="shared" si="4"/>
        <v>41.5</v>
      </c>
      <c r="E108" s="4">
        <f t="shared" si="5"/>
        <v>41.5</v>
      </c>
      <c r="F108" s="4">
        <f t="shared" si="6"/>
        <v>1722.25</v>
      </c>
      <c r="G108" s="5">
        <f t="shared" si="7"/>
        <v>0.98809523809523814</v>
      </c>
    </row>
    <row r="109" spans="1:7" ht="15.75" customHeight="1">
      <c r="A109" s="3">
        <v>21658</v>
      </c>
      <c r="B109" s="4">
        <v>34</v>
      </c>
      <c r="C109" s="4">
        <v>0.5</v>
      </c>
      <c r="D109" s="4">
        <f t="shared" si="4"/>
        <v>33.5</v>
      </c>
      <c r="E109" s="4">
        <f t="shared" si="5"/>
        <v>33.5</v>
      </c>
      <c r="F109" s="4">
        <f t="shared" si="6"/>
        <v>1122.25</v>
      </c>
      <c r="G109" s="5">
        <f t="shared" si="7"/>
        <v>0.98529411764705888</v>
      </c>
    </row>
    <row r="110" spans="1:7" ht="15.75" customHeight="1">
      <c r="A110" s="3">
        <v>21659</v>
      </c>
      <c r="B110" s="4">
        <v>46</v>
      </c>
      <c r="C110" s="4">
        <v>0.5</v>
      </c>
      <c r="D110" s="4">
        <f t="shared" si="4"/>
        <v>45.5</v>
      </c>
      <c r="E110" s="4">
        <f t="shared" si="5"/>
        <v>45.5</v>
      </c>
      <c r="F110" s="4">
        <f t="shared" si="6"/>
        <v>2070.25</v>
      </c>
      <c r="G110" s="5">
        <f t="shared" si="7"/>
        <v>0.98913043478260865</v>
      </c>
    </row>
    <row r="111" spans="1:7" ht="15.75" customHeight="1">
      <c r="A111" s="3">
        <v>21660</v>
      </c>
      <c r="B111" s="4">
        <v>30</v>
      </c>
      <c r="C111" s="4">
        <v>0.5</v>
      </c>
      <c r="D111" s="4">
        <f t="shared" si="4"/>
        <v>29.5</v>
      </c>
      <c r="E111" s="4">
        <f t="shared" si="5"/>
        <v>29.5</v>
      </c>
      <c r="F111" s="4">
        <f t="shared" si="6"/>
        <v>870.25</v>
      </c>
      <c r="G111" s="5">
        <f t="shared" si="7"/>
        <v>0.98333333333333328</v>
      </c>
    </row>
    <row r="112" spans="1:7" ht="15.75" customHeight="1">
      <c r="A112" s="3">
        <v>21661</v>
      </c>
      <c r="B112" s="4">
        <v>46</v>
      </c>
      <c r="C112" s="4">
        <v>0.5</v>
      </c>
      <c r="D112" s="4">
        <f t="shared" si="4"/>
        <v>45.5</v>
      </c>
      <c r="E112" s="4">
        <f t="shared" si="5"/>
        <v>45.5</v>
      </c>
      <c r="F112" s="4">
        <f t="shared" si="6"/>
        <v>2070.25</v>
      </c>
      <c r="G112" s="5">
        <f t="shared" si="7"/>
        <v>0.98913043478260865</v>
      </c>
    </row>
    <row r="113" spans="1:7" ht="15.75" customHeight="1">
      <c r="A113" s="3">
        <v>21662</v>
      </c>
      <c r="B113" s="4">
        <v>45</v>
      </c>
      <c r="C113" s="4">
        <v>0.5</v>
      </c>
      <c r="D113" s="4">
        <f t="shared" si="4"/>
        <v>44.5</v>
      </c>
      <c r="E113" s="4">
        <f t="shared" si="5"/>
        <v>44.5</v>
      </c>
      <c r="F113" s="4">
        <f t="shared" si="6"/>
        <v>1980.25</v>
      </c>
      <c r="G113" s="5">
        <f t="shared" si="7"/>
        <v>0.98888888888888893</v>
      </c>
    </row>
    <row r="114" spans="1:7" ht="15.75" customHeight="1">
      <c r="A114" s="3">
        <v>21663</v>
      </c>
      <c r="B114" s="4">
        <v>54</v>
      </c>
      <c r="C114" s="4">
        <v>0.5</v>
      </c>
      <c r="D114" s="4">
        <f t="shared" si="4"/>
        <v>53.5</v>
      </c>
      <c r="E114" s="4">
        <f t="shared" si="5"/>
        <v>53.5</v>
      </c>
      <c r="F114" s="4">
        <f t="shared" si="6"/>
        <v>2862.25</v>
      </c>
      <c r="G114" s="5">
        <f t="shared" si="7"/>
        <v>0.9907407407407407</v>
      </c>
    </row>
    <row r="115" spans="1:7" ht="15.75" customHeight="1">
      <c r="A115" s="3">
        <v>21664</v>
      </c>
      <c r="B115" s="4">
        <v>34</v>
      </c>
      <c r="C115" s="4">
        <v>0.5</v>
      </c>
      <c r="D115" s="4">
        <f t="shared" si="4"/>
        <v>33.5</v>
      </c>
      <c r="E115" s="4">
        <f t="shared" si="5"/>
        <v>33.5</v>
      </c>
      <c r="F115" s="4">
        <f t="shared" si="6"/>
        <v>1122.25</v>
      </c>
      <c r="G115" s="5">
        <f t="shared" si="7"/>
        <v>0.98529411764705888</v>
      </c>
    </row>
    <row r="116" spans="1:7" ht="15.75" customHeight="1">
      <c r="A116" s="3">
        <v>21665</v>
      </c>
      <c r="B116" s="4">
        <v>37</v>
      </c>
      <c r="C116" s="4">
        <v>0.5</v>
      </c>
      <c r="D116" s="4">
        <f t="shared" si="4"/>
        <v>36.5</v>
      </c>
      <c r="E116" s="4">
        <f t="shared" si="5"/>
        <v>36.5</v>
      </c>
      <c r="F116" s="4">
        <f t="shared" si="6"/>
        <v>1332.25</v>
      </c>
      <c r="G116" s="5">
        <f t="shared" si="7"/>
        <v>0.98648648648648651</v>
      </c>
    </row>
    <row r="117" spans="1:7" ht="15.75" customHeight="1">
      <c r="A117" s="3">
        <v>21666</v>
      </c>
      <c r="B117" s="4">
        <v>35</v>
      </c>
      <c r="C117" s="4">
        <v>0.5</v>
      </c>
      <c r="D117" s="4">
        <f t="shared" si="4"/>
        <v>34.5</v>
      </c>
      <c r="E117" s="4">
        <f t="shared" si="5"/>
        <v>34.5</v>
      </c>
      <c r="F117" s="4">
        <f t="shared" si="6"/>
        <v>1190.25</v>
      </c>
      <c r="G117" s="5">
        <f t="shared" si="7"/>
        <v>0.98571428571428577</v>
      </c>
    </row>
    <row r="118" spans="1:7" ht="15.75" customHeight="1">
      <c r="A118" s="3">
        <v>21667</v>
      </c>
      <c r="B118" s="4">
        <v>40</v>
      </c>
      <c r="C118" s="4">
        <v>0.5</v>
      </c>
      <c r="D118" s="4">
        <f t="shared" si="4"/>
        <v>39.5</v>
      </c>
      <c r="E118" s="4">
        <f t="shared" si="5"/>
        <v>39.5</v>
      </c>
      <c r="F118" s="4">
        <f t="shared" si="6"/>
        <v>1560.25</v>
      </c>
      <c r="G118" s="5">
        <f t="shared" si="7"/>
        <v>0.98750000000000004</v>
      </c>
    </row>
    <row r="119" spans="1:7" ht="15.75" customHeight="1">
      <c r="A119" s="3">
        <v>21668</v>
      </c>
      <c r="B119" s="4">
        <v>42</v>
      </c>
      <c r="C119" s="4">
        <v>0.5</v>
      </c>
      <c r="D119" s="4">
        <f t="shared" si="4"/>
        <v>41.5</v>
      </c>
      <c r="E119" s="4">
        <f t="shared" si="5"/>
        <v>41.5</v>
      </c>
      <c r="F119" s="4">
        <f t="shared" si="6"/>
        <v>1722.25</v>
      </c>
      <c r="G119" s="5">
        <f t="shared" si="7"/>
        <v>0.98809523809523814</v>
      </c>
    </row>
    <row r="120" spans="1:7" ht="15.75" customHeight="1">
      <c r="A120" s="3">
        <v>21669</v>
      </c>
      <c r="B120" s="4">
        <v>58</v>
      </c>
      <c r="C120" s="4">
        <v>0.5</v>
      </c>
      <c r="D120" s="4">
        <f t="shared" si="4"/>
        <v>57.5</v>
      </c>
      <c r="E120" s="4">
        <f t="shared" si="5"/>
        <v>57.5</v>
      </c>
      <c r="F120" s="4">
        <f t="shared" si="6"/>
        <v>3306.25</v>
      </c>
      <c r="G120" s="5">
        <f t="shared" si="7"/>
        <v>0.99137931034482762</v>
      </c>
    </row>
    <row r="121" spans="1:7" ht="15.75" customHeight="1">
      <c r="A121" s="3">
        <v>21670</v>
      </c>
      <c r="B121" s="4">
        <v>51</v>
      </c>
      <c r="C121" s="4">
        <v>0.5</v>
      </c>
      <c r="D121" s="4">
        <f t="shared" si="4"/>
        <v>50.5</v>
      </c>
      <c r="E121" s="4">
        <f t="shared" si="5"/>
        <v>50.5</v>
      </c>
      <c r="F121" s="4">
        <f t="shared" si="6"/>
        <v>2550.25</v>
      </c>
      <c r="G121" s="5">
        <f t="shared" si="7"/>
        <v>0.99019607843137258</v>
      </c>
    </row>
    <row r="122" spans="1:7" ht="15.75" customHeight="1">
      <c r="A122" s="3">
        <v>21671</v>
      </c>
      <c r="B122" s="4">
        <v>32</v>
      </c>
      <c r="C122" s="4">
        <v>0.5</v>
      </c>
      <c r="D122" s="4">
        <f t="shared" si="4"/>
        <v>31.5</v>
      </c>
      <c r="E122" s="4">
        <f t="shared" si="5"/>
        <v>31.5</v>
      </c>
      <c r="F122" s="4">
        <f t="shared" si="6"/>
        <v>992.25</v>
      </c>
      <c r="G122" s="5">
        <f t="shared" si="7"/>
        <v>0.984375</v>
      </c>
    </row>
    <row r="123" spans="1:7" ht="15.75" customHeight="1">
      <c r="A123" s="3">
        <v>21672</v>
      </c>
      <c r="B123" s="4">
        <v>35</v>
      </c>
      <c r="C123" s="4">
        <v>0.5</v>
      </c>
      <c r="D123" s="4">
        <f t="shared" si="4"/>
        <v>34.5</v>
      </c>
      <c r="E123" s="4">
        <f t="shared" si="5"/>
        <v>34.5</v>
      </c>
      <c r="F123" s="4">
        <f t="shared" si="6"/>
        <v>1190.25</v>
      </c>
      <c r="G123" s="5">
        <f t="shared" si="7"/>
        <v>0.98571428571428577</v>
      </c>
    </row>
    <row r="124" spans="1:7" ht="15.75" customHeight="1">
      <c r="A124" s="3">
        <v>21673</v>
      </c>
      <c r="B124" s="4">
        <v>38</v>
      </c>
      <c r="C124" s="4">
        <v>0.5</v>
      </c>
      <c r="D124" s="4">
        <f t="shared" si="4"/>
        <v>37.5</v>
      </c>
      <c r="E124" s="4">
        <f t="shared" si="5"/>
        <v>37.5</v>
      </c>
      <c r="F124" s="4">
        <f t="shared" si="6"/>
        <v>1406.25</v>
      </c>
      <c r="G124" s="5">
        <f t="shared" si="7"/>
        <v>0.98684210526315785</v>
      </c>
    </row>
    <row r="125" spans="1:7" ht="15.75" customHeight="1">
      <c r="A125" s="3">
        <v>21674</v>
      </c>
      <c r="B125" s="4">
        <v>33</v>
      </c>
      <c r="C125" s="4">
        <v>0.5</v>
      </c>
      <c r="D125" s="4">
        <f t="shared" si="4"/>
        <v>32.5</v>
      </c>
      <c r="E125" s="4">
        <f t="shared" si="5"/>
        <v>32.5</v>
      </c>
      <c r="F125" s="4">
        <f t="shared" si="6"/>
        <v>1056.25</v>
      </c>
      <c r="G125" s="5">
        <f t="shared" si="7"/>
        <v>0.98484848484848486</v>
      </c>
    </row>
    <row r="126" spans="1:7" ht="15.75" customHeight="1">
      <c r="A126" s="3">
        <v>21675</v>
      </c>
      <c r="B126" s="4">
        <v>39</v>
      </c>
      <c r="C126" s="4">
        <v>0.5</v>
      </c>
      <c r="D126" s="4">
        <f t="shared" si="4"/>
        <v>38.5</v>
      </c>
      <c r="E126" s="4">
        <f t="shared" si="5"/>
        <v>38.5</v>
      </c>
      <c r="F126" s="4">
        <f t="shared" si="6"/>
        <v>1482.25</v>
      </c>
      <c r="G126" s="5">
        <f t="shared" si="7"/>
        <v>0.98717948717948723</v>
      </c>
    </row>
    <row r="127" spans="1:7" ht="15.75" customHeight="1">
      <c r="A127" s="3">
        <v>21676</v>
      </c>
      <c r="B127" s="4">
        <v>47</v>
      </c>
      <c r="C127" s="4">
        <v>0.5</v>
      </c>
      <c r="D127" s="4">
        <f t="shared" si="4"/>
        <v>46.5</v>
      </c>
      <c r="E127" s="4">
        <f t="shared" si="5"/>
        <v>46.5</v>
      </c>
      <c r="F127" s="4">
        <f t="shared" si="6"/>
        <v>2162.25</v>
      </c>
      <c r="G127" s="5">
        <f t="shared" si="7"/>
        <v>0.98936170212765961</v>
      </c>
    </row>
    <row r="128" spans="1:7" ht="15.75" customHeight="1">
      <c r="A128" s="3">
        <v>21677</v>
      </c>
      <c r="B128" s="4">
        <v>38</v>
      </c>
      <c r="C128" s="4">
        <v>0.5</v>
      </c>
      <c r="D128" s="4">
        <f t="shared" si="4"/>
        <v>37.5</v>
      </c>
      <c r="E128" s="4">
        <f t="shared" si="5"/>
        <v>37.5</v>
      </c>
      <c r="F128" s="4">
        <f t="shared" si="6"/>
        <v>1406.25</v>
      </c>
      <c r="G128" s="5">
        <f t="shared" si="7"/>
        <v>0.98684210526315785</v>
      </c>
    </row>
    <row r="129" spans="1:7" ht="15.75" customHeight="1">
      <c r="A129" s="3">
        <v>21678</v>
      </c>
      <c r="B129" s="4">
        <v>52</v>
      </c>
      <c r="C129" s="4">
        <v>0.5</v>
      </c>
      <c r="D129" s="4">
        <f t="shared" si="4"/>
        <v>51.5</v>
      </c>
      <c r="E129" s="4">
        <f t="shared" si="5"/>
        <v>51.5</v>
      </c>
      <c r="F129" s="4">
        <f t="shared" si="6"/>
        <v>2652.25</v>
      </c>
      <c r="G129" s="5">
        <f t="shared" si="7"/>
        <v>0.99038461538461542</v>
      </c>
    </row>
    <row r="130" spans="1:7" ht="15.75" customHeight="1">
      <c r="A130" s="3">
        <v>21679</v>
      </c>
      <c r="B130" s="4">
        <v>30</v>
      </c>
      <c r="C130" s="4">
        <v>0.5</v>
      </c>
      <c r="D130" s="4">
        <f t="shared" si="4"/>
        <v>29.5</v>
      </c>
      <c r="E130" s="4">
        <f t="shared" si="5"/>
        <v>29.5</v>
      </c>
      <c r="F130" s="4">
        <f t="shared" si="6"/>
        <v>870.25</v>
      </c>
      <c r="G130" s="5">
        <f t="shared" si="7"/>
        <v>0.98333333333333328</v>
      </c>
    </row>
    <row r="131" spans="1:7" ht="15.75" customHeight="1">
      <c r="A131" s="3">
        <v>21680</v>
      </c>
      <c r="B131" s="4">
        <v>34</v>
      </c>
      <c r="C131" s="4">
        <v>0.5</v>
      </c>
      <c r="D131" s="4">
        <f t="shared" ref="D131:D194" si="8">B131-C131</f>
        <v>33.5</v>
      </c>
      <c r="E131" s="4">
        <f t="shared" ref="E131:E194" si="9">ABS(D131)</f>
        <v>33.5</v>
      </c>
      <c r="F131" s="4">
        <f t="shared" ref="F131:F194" si="10">E131^2</f>
        <v>1122.25</v>
      </c>
      <c r="G131" s="5">
        <f t="shared" ref="G131:G194" si="11">E131/B131</f>
        <v>0.98529411764705888</v>
      </c>
    </row>
    <row r="132" spans="1:7" ht="15.75" customHeight="1">
      <c r="A132" s="3">
        <v>21681</v>
      </c>
      <c r="B132" s="4">
        <v>40</v>
      </c>
      <c r="C132" s="4">
        <v>0.5</v>
      </c>
      <c r="D132" s="4">
        <f t="shared" si="8"/>
        <v>39.5</v>
      </c>
      <c r="E132" s="4">
        <f t="shared" si="9"/>
        <v>39.5</v>
      </c>
      <c r="F132" s="4">
        <f t="shared" si="10"/>
        <v>1560.25</v>
      </c>
      <c r="G132" s="5">
        <f t="shared" si="11"/>
        <v>0.98750000000000004</v>
      </c>
    </row>
    <row r="133" spans="1:7" ht="15.75" customHeight="1">
      <c r="A133" s="3">
        <v>21682</v>
      </c>
      <c r="B133" s="4">
        <v>35</v>
      </c>
      <c r="C133" s="4">
        <v>0.5</v>
      </c>
      <c r="D133" s="4">
        <f t="shared" si="8"/>
        <v>34.5</v>
      </c>
      <c r="E133" s="4">
        <f t="shared" si="9"/>
        <v>34.5</v>
      </c>
      <c r="F133" s="4">
        <f t="shared" si="10"/>
        <v>1190.25</v>
      </c>
      <c r="G133" s="5">
        <f t="shared" si="11"/>
        <v>0.98571428571428577</v>
      </c>
    </row>
    <row r="134" spans="1:7" ht="15.75" customHeight="1">
      <c r="A134" s="3">
        <v>21683</v>
      </c>
      <c r="B134" s="4">
        <v>42</v>
      </c>
      <c r="C134" s="4">
        <v>0.5</v>
      </c>
      <c r="D134" s="4">
        <f t="shared" si="8"/>
        <v>41.5</v>
      </c>
      <c r="E134" s="4">
        <f t="shared" si="9"/>
        <v>41.5</v>
      </c>
      <c r="F134" s="4">
        <f t="shared" si="10"/>
        <v>1722.25</v>
      </c>
      <c r="G134" s="5">
        <f t="shared" si="11"/>
        <v>0.98809523809523814</v>
      </c>
    </row>
    <row r="135" spans="1:7" ht="15.75" customHeight="1">
      <c r="A135" s="3">
        <v>21684</v>
      </c>
      <c r="B135" s="4">
        <v>41</v>
      </c>
      <c r="C135" s="4">
        <v>0.5</v>
      </c>
      <c r="D135" s="4">
        <f t="shared" si="8"/>
        <v>40.5</v>
      </c>
      <c r="E135" s="4">
        <f t="shared" si="9"/>
        <v>40.5</v>
      </c>
      <c r="F135" s="4">
        <f t="shared" si="10"/>
        <v>1640.25</v>
      </c>
      <c r="G135" s="5">
        <f t="shared" si="11"/>
        <v>0.98780487804878048</v>
      </c>
    </row>
    <row r="136" spans="1:7" ht="15.75" customHeight="1">
      <c r="A136" s="3">
        <v>21685</v>
      </c>
      <c r="B136" s="4">
        <v>42</v>
      </c>
      <c r="C136" s="4">
        <v>0.5</v>
      </c>
      <c r="D136" s="4">
        <f t="shared" si="8"/>
        <v>41.5</v>
      </c>
      <c r="E136" s="4">
        <f t="shared" si="9"/>
        <v>41.5</v>
      </c>
      <c r="F136" s="4">
        <f t="shared" si="10"/>
        <v>1722.25</v>
      </c>
      <c r="G136" s="5">
        <f t="shared" si="11"/>
        <v>0.98809523809523814</v>
      </c>
    </row>
    <row r="137" spans="1:7" ht="15.75" customHeight="1">
      <c r="A137" s="3">
        <v>21686</v>
      </c>
      <c r="B137" s="4">
        <v>38</v>
      </c>
      <c r="C137" s="4">
        <v>0.5</v>
      </c>
      <c r="D137" s="4">
        <f t="shared" si="8"/>
        <v>37.5</v>
      </c>
      <c r="E137" s="4">
        <f t="shared" si="9"/>
        <v>37.5</v>
      </c>
      <c r="F137" s="4">
        <f t="shared" si="10"/>
        <v>1406.25</v>
      </c>
      <c r="G137" s="5">
        <f t="shared" si="11"/>
        <v>0.98684210526315785</v>
      </c>
    </row>
    <row r="138" spans="1:7" ht="15.75" customHeight="1">
      <c r="A138" s="3">
        <v>21687</v>
      </c>
      <c r="B138" s="4">
        <v>24</v>
      </c>
      <c r="C138" s="4">
        <v>0.5</v>
      </c>
      <c r="D138" s="4">
        <f t="shared" si="8"/>
        <v>23.5</v>
      </c>
      <c r="E138" s="4">
        <f t="shared" si="9"/>
        <v>23.5</v>
      </c>
      <c r="F138" s="4">
        <f t="shared" si="10"/>
        <v>552.25</v>
      </c>
      <c r="G138" s="5">
        <f t="shared" si="11"/>
        <v>0.97916666666666663</v>
      </c>
    </row>
    <row r="139" spans="1:7" ht="15.75" customHeight="1">
      <c r="A139" s="3">
        <v>21688</v>
      </c>
      <c r="B139" s="4">
        <v>34</v>
      </c>
      <c r="C139" s="4">
        <v>0.5</v>
      </c>
      <c r="D139" s="4">
        <f t="shared" si="8"/>
        <v>33.5</v>
      </c>
      <c r="E139" s="4">
        <f t="shared" si="9"/>
        <v>33.5</v>
      </c>
      <c r="F139" s="4">
        <f t="shared" si="10"/>
        <v>1122.25</v>
      </c>
      <c r="G139" s="5">
        <f t="shared" si="11"/>
        <v>0.98529411764705888</v>
      </c>
    </row>
    <row r="140" spans="1:7" ht="15.75" customHeight="1">
      <c r="A140" s="3">
        <v>21689</v>
      </c>
      <c r="B140" s="4">
        <v>43</v>
      </c>
      <c r="C140" s="4">
        <v>0.5</v>
      </c>
      <c r="D140" s="4">
        <f t="shared" si="8"/>
        <v>42.5</v>
      </c>
      <c r="E140" s="4">
        <f t="shared" si="9"/>
        <v>42.5</v>
      </c>
      <c r="F140" s="4">
        <f t="shared" si="10"/>
        <v>1806.25</v>
      </c>
      <c r="G140" s="5">
        <f t="shared" si="11"/>
        <v>0.98837209302325579</v>
      </c>
    </row>
    <row r="141" spans="1:7" ht="15.75" customHeight="1">
      <c r="A141" s="3">
        <v>21690</v>
      </c>
      <c r="B141" s="4">
        <v>36</v>
      </c>
      <c r="C141" s="4">
        <v>0.5</v>
      </c>
      <c r="D141" s="4">
        <f t="shared" si="8"/>
        <v>35.5</v>
      </c>
      <c r="E141" s="4">
        <f t="shared" si="9"/>
        <v>35.5</v>
      </c>
      <c r="F141" s="4">
        <f t="shared" si="10"/>
        <v>1260.25</v>
      </c>
      <c r="G141" s="5">
        <f t="shared" si="11"/>
        <v>0.98611111111111116</v>
      </c>
    </row>
    <row r="142" spans="1:7" ht="15.75" customHeight="1">
      <c r="A142" s="3">
        <v>21691</v>
      </c>
      <c r="B142" s="4">
        <v>55</v>
      </c>
      <c r="C142" s="4">
        <v>0.5</v>
      </c>
      <c r="D142" s="4">
        <f t="shared" si="8"/>
        <v>54.5</v>
      </c>
      <c r="E142" s="4">
        <f t="shared" si="9"/>
        <v>54.5</v>
      </c>
      <c r="F142" s="4">
        <f t="shared" si="10"/>
        <v>2970.25</v>
      </c>
      <c r="G142" s="5">
        <f t="shared" si="11"/>
        <v>0.99090909090909096</v>
      </c>
    </row>
    <row r="143" spans="1:7" ht="15.75" customHeight="1">
      <c r="A143" s="3">
        <v>21692</v>
      </c>
      <c r="B143" s="4">
        <v>41</v>
      </c>
      <c r="C143" s="4">
        <v>0.5</v>
      </c>
      <c r="D143" s="4">
        <f t="shared" si="8"/>
        <v>40.5</v>
      </c>
      <c r="E143" s="4">
        <f t="shared" si="9"/>
        <v>40.5</v>
      </c>
      <c r="F143" s="4">
        <f t="shared" si="10"/>
        <v>1640.25</v>
      </c>
      <c r="G143" s="5">
        <f t="shared" si="11"/>
        <v>0.98780487804878048</v>
      </c>
    </row>
    <row r="144" spans="1:7" ht="15.75" customHeight="1">
      <c r="A144" s="3">
        <v>21693</v>
      </c>
      <c r="B144" s="4">
        <v>45</v>
      </c>
      <c r="C144" s="4">
        <v>0.5</v>
      </c>
      <c r="D144" s="4">
        <f t="shared" si="8"/>
        <v>44.5</v>
      </c>
      <c r="E144" s="4">
        <f t="shared" si="9"/>
        <v>44.5</v>
      </c>
      <c r="F144" s="4">
        <f t="shared" si="10"/>
        <v>1980.25</v>
      </c>
      <c r="G144" s="5">
        <f t="shared" si="11"/>
        <v>0.98888888888888893</v>
      </c>
    </row>
    <row r="145" spans="1:7" ht="15.75" customHeight="1">
      <c r="A145" s="3">
        <v>21694</v>
      </c>
      <c r="B145" s="4">
        <v>41</v>
      </c>
      <c r="C145" s="4">
        <v>0.5</v>
      </c>
      <c r="D145" s="4">
        <f t="shared" si="8"/>
        <v>40.5</v>
      </c>
      <c r="E145" s="4">
        <f t="shared" si="9"/>
        <v>40.5</v>
      </c>
      <c r="F145" s="4">
        <f t="shared" si="10"/>
        <v>1640.25</v>
      </c>
      <c r="G145" s="5">
        <f t="shared" si="11"/>
        <v>0.98780487804878048</v>
      </c>
    </row>
    <row r="146" spans="1:7" ht="15.75" customHeight="1">
      <c r="A146" s="3">
        <v>21695</v>
      </c>
      <c r="B146" s="4">
        <v>37</v>
      </c>
      <c r="C146" s="4">
        <v>0.5</v>
      </c>
      <c r="D146" s="4">
        <f t="shared" si="8"/>
        <v>36.5</v>
      </c>
      <c r="E146" s="4">
        <f t="shared" si="9"/>
        <v>36.5</v>
      </c>
      <c r="F146" s="4">
        <f t="shared" si="10"/>
        <v>1332.25</v>
      </c>
      <c r="G146" s="5">
        <f t="shared" si="11"/>
        <v>0.98648648648648651</v>
      </c>
    </row>
    <row r="147" spans="1:7" ht="15.75" customHeight="1">
      <c r="A147" s="3">
        <v>21696</v>
      </c>
      <c r="B147" s="4">
        <v>43</v>
      </c>
      <c r="C147" s="4">
        <v>0.5</v>
      </c>
      <c r="D147" s="4">
        <f t="shared" si="8"/>
        <v>42.5</v>
      </c>
      <c r="E147" s="4">
        <f t="shared" si="9"/>
        <v>42.5</v>
      </c>
      <c r="F147" s="4">
        <f t="shared" si="10"/>
        <v>1806.25</v>
      </c>
      <c r="G147" s="5">
        <f t="shared" si="11"/>
        <v>0.98837209302325579</v>
      </c>
    </row>
    <row r="148" spans="1:7" ht="15.75" customHeight="1">
      <c r="A148" s="3">
        <v>21697</v>
      </c>
      <c r="B148" s="4">
        <v>39</v>
      </c>
      <c r="C148" s="4">
        <v>0.5</v>
      </c>
      <c r="D148" s="4">
        <f t="shared" si="8"/>
        <v>38.5</v>
      </c>
      <c r="E148" s="4">
        <f t="shared" si="9"/>
        <v>38.5</v>
      </c>
      <c r="F148" s="4">
        <f t="shared" si="10"/>
        <v>1482.25</v>
      </c>
      <c r="G148" s="5">
        <f t="shared" si="11"/>
        <v>0.98717948717948723</v>
      </c>
    </row>
    <row r="149" spans="1:7" ht="15.75" customHeight="1">
      <c r="A149" s="3">
        <v>21698</v>
      </c>
      <c r="B149" s="4">
        <v>33</v>
      </c>
      <c r="C149" s="4">
        <v>0.5</v>
      </c>
      <c r="D149" s="4">
        <f t="shared" si="8"/>
        <v>32.5</v>
      </c>
      <c r="E149" s="4">
        <f t="shared" si="9"/>
        <v>32.5</v>
      </c>
      <c r="F149" s="4">
        <f t="shared" si="10"/>
        <v>1056.25</v>
      </c>
      <c r="G149" s="5">
        <f t="shared" si="11"/>
        <v>0.98484848484848486</v>
      </c>
    </row>
    <row r="150" spans="1:7" ht="15.75" customHeight="1">
      <c r="A150" s="3">
        <v>21699</v>
      </c>
      <c r="B150" s="4">
        <v>43</v>
      </c>
      <c r="C150" s="4">
        <v>0.5</v>
      </c>
      <c r="D150" s="4">
        <f t="shared" si="8"/>
        <v>42.5</v>
      </c>
      <c r="E150" s="4">
        <f t="shared" si="9"/>
        <v>42.5</v>
      </c>
      <c r="F150" s="4">
        <f t="shared" si="10"/>
        <v>1806.25</v>
      </c>
      <c r="G150" s="5">
        <f t="shared" si="11"/>
        <v>0.98837209302325579</v>
      </c>
    </row>
    <row r="151" spans="1:7" ht="15.75" customHeight="1">
      <c r="A151" s="3">
        <v>21700</v>
      </c>
      <c r="B151" s="4">
        <v>40</v>
      </c>
      <c r="C151" s="4">
        <v>0.5</v>
      </c>
      <c r="D151" s="4">
        <f t="shared" si="8"/>
        <v>39.5</v>
      </c>
      <c r="E151" s="4">
        <f t="shared" si="9"/>
        <v>39.5</v>
      </c>
      <c r="F151" s="4">
        <f t="shared" si="10"/>
        <v>1560.25</v>
      </c>
      <c r="G151" s="5">
        <f t="shared" si="11"/>
        <v>0.98750000000000004</v>
      </c>
    </row>
    <row r="152" spans="1:7" ht="15.75" customHeight="1">
      <c r="A152" s="3">
        <v>21701</v>
      </c>
      <c r="B152" s="4">
        <v>38</v>
      </c>
      <c r="C152" s="4">
        <v>0.5</v>
      </c>
      <c r="D152" s="4">
        <f t="shared" si="8"/>
        <v>37.5</v>
      </c>
      <c r="E152" s="4">
        <f t="shared" si="9"/>
        <v>37.5</v>
      </c>
      <c r="F152" s="4">
        <f t="shared" si="10"/>
        <v>1406.25</v>
      </c>
      <c r="G152" s="5">
        <f t="shared" si="11"/>
        <v>0.98684210526315785</v>
      </c>
    </row>
    <row r="153" spans="1:7" ht="15.75" customHeight="1">
      <c r="A153" s="3">
        <v>21702</v>
      </c>
      <c r="B153" s="4">
        <v>45</v>
      </c>
      <c r="C153" s="4">
        <v>0.5</v>
      </c>
      <c r="D153" s="4">
        <f t="shared" si="8"/>
        <v>44.5</v>
      </c>
      <c r="E153" s="4">
        <f t="shared" si="9"/>
        <v>44.5</v>
      </c>
      <c r="F153" s="4">
        <f t="shared" si="10"/>
        <v>1980.25</v>
      </c>
      <c r="G153" s="5">
        <f t="shared" si="11"/>
        <v>0.98888888888888893</v>
      </c>
    </row>
    <row r="154" spans="1:7" ht="15.75" customHeight="1">
      <c r="A154" s="3">
        <v>21703</v>
      </c>
      <c r="B154" s="4">
        <v>46</v>
      </c>
      <c r="C154" s="4">
        <v>0.5</v>
      </c>
      <c r="D154" s="4">
        <f t="shared" si="8"/>
        <v>45.5</v>
      </c>
      <c r="E154" s="4">
        <f t="shared" si="9"/>
        <v>45.5</v>
      </c>
      <c r="F154" s="4">
        <f t="shared" si="10"/>
        <v>2070.25</v>
      </c>
      <c r="G154" s="5">
        <f t="shared" si="11"/>
        <v>0.98913043478260865</v>
      </c>
    </row>
    <row r="155" spans="1:7" ht="15.75" customHeight="1">
      <c r="A155" s="3">
        <v>21704</v>
      </c>
      <c r="B155" s="4">
        <v>34</v>
      </c>
      <c r="C155" s="4">
        <v>0.5</v>
      </c>
      <c r="D155" s="4">
        <f t="shared" si="8"/>
        <v>33.5</v>
      </c>
      <c r="E155" s="4">
        <f t="shared" si="9"/>
        <v>33.5</v>
      </c>
      <c r="F155" s="4">
        <f t="shared" si="10"/>
        <v>1122.25</v>
      </c>
      <c r="G155" s="5">
        <f t="shared" si="11"/>
        <v>0.98529411764705888</v>
      </c>
    </row>
    <row r="156" spans="1:7" ht="15.75" customHeight="1">
      <c r="A156" s="3">
        <v>21705</v>
      </c>
      <c r="B156" s="4">
        <v>35</v>
      </c>
      <c r="C156" s="4">
        <v>0.5</v>
      </c>
      <c r="D156" s="4">
        <f t="shared" si="8"/>
        <v>34.5</v>
      </c>
      <c r="E156" s="4">
        <f t="shared" si="9"/>
        <v>34.5</v>
      </c>
      <c r="F156" s="4">
        <f t="shared" si="10"/>
        <v>1190.25</v>
      </c>
      <c r="G156" s="5">
        <f t="shared" si="11"/>
        <v>0.98571428571428577</v>
      </c>
    </row>
    <row r="157" spans="1:7" ht="15.75" customHeight="1">
      <c r="A157" s="3">
        <v>21706</v>
      </c>
      <c r="B157" s="4">
        <v>48</v>
      </c>
      <c r="C157" s="4">
        <v>0.5</v>
      </c>
      <c r="D157" s="4">
        <f t="shared" si="8"/>
        <v>47.5</v>
      </c>
      <c r="E157" s="4">
        <f t="shared" si="9"/>
        <v>47.5</v>
      </c>
      <c r="F157" s="4">
        <f t="shared" si="10"/>
        <v>2256.25</v>
      </c>
      <c r="G157" s="5">
        <f t="shared" si="11"/>
        <v>0.98958333333333337</v>
      </c>
    </row>
    <row r="158" spans="1:7" ht="15.75" customHeight="1">
      <c r="A158" s="3">
        <v>21707</v>
      </c>
      <c r="B158" s="4">
        <v>51</v>
      </c>
      <c r="C158" s="4">
        <v>0.5</v>
      </c>
      <c r="D158" s="4">
        <f t="shared" si="8"/>
        <v>50.5</v>
      </c>
      <c r="E158" s="4">
        <f t="shared" si="9"/>
        <v>50.5</v>
      </c>
      <c r="F158" s="4">
        <f t="shared" si="10"/>
        <v>2550.25</v>
      </c>
      <c r="G158" s="5">
        <f t="shared" si="11"/>
        <v>0.99019607843137258</v>
      </c>
    </row>
    <row r="159" spans="1:7" ht="15.75" customHeight="1">
      <c r="A159" s="3">
        <v>21708</v>
      </c>
      <c r="B159" s="4">
        <v>36</v>
      </c>
      <c r="C159" s="4">
        <v>0.5</v>
      </c>
      <c r="D159" s="4">
        <f t="shared" si="8"/>
        <v>35.5</v>
      </c>
      <c r="E159" s="4">
        <f t="shared" si="9"/>
        <v>35.5</v>
      </c>
      <c r="F159" s="4">
        <f t="shared" si="10"/>
        <v>1260.25</v>
      </c>
      <c r="G159" s="5">
        <f t="shared" si="11"/>
        <v>0.98611111111111116</v>
      </c>
    </row>
    <row r="160" spans="1:7" ht="15.75" customHeight="1">
      <c r="A160" s="3">
        <v>21709</v>
      </c>
      <c r="B160" s="4">
        <v>33</v>
      </c>
      <c r="C160" s="4">
        <v>0.5</v>
      </c>
      <c r="D160" s="4">
        <f t="shared" si="8"/>
        <v>32.5</v>
      </c>
      <c r="E160" s="4">
        <f t="shared" si="9"/>
        <v>32.5</v>
      </c>
      <c r="F160" s="4">
        <f t="shared" si="10"/>
        <v>1056.25</v>
      </c>
      <c r="G160" s="5">
        <f t="shared" si="11"/>
        <v>0.98484848484848486</v>
      </c>
    </row>
    <row r="161" spans="1:7" ht="15.75" customHeight="1">
      <c r="A161" s="3">
        <v>21710</v>
      </c>
      <c r="B161" s="4">
        <v>46</v>
      </c>
      <c r="C161" s="4">
        <v>0.5</v>
      </c>
      <c r="D161" s="4">
        <f t="shared" si="8"/>
        <v>45.5</v>
      </c>
      <c r="E161" s="4">
        <f t="shared" si="9"/>
        <v>45.5</v>
      </c>
      <c r="F161" s="4">
        <f t="shared" si="10"/>
        <v>2070.25</v>
      </c>
      <c r="G161" s="5">
        <f t="shared" si="11"/>
        <v>0.98913043478260865</v>
      </c>
    </row>
    <row r="162" spans="1:7" ht="15.75" customHeight="1">
      <c r="A162" s="3">
        <v>21711</v>
      </c>
      <c r="B162" s="4">
        <v>42</v>
      </c>
      <c r="C162" s="4">
        <v>0.5</v>
      </c>
      <c r="D162" s="4">
        <f t="shared" si="8"/>
        <v>41.5</v>
      </c>
      <c r="E162" s="4">
        <f t="shared" si="9"/>
        <v>41.5</v>
      </c>
      <c r="F162" s="4">
        <f t="shared" si="10"/>
        <v>1722.25</v>
      </c>
      <c r="G162" s="5">
        <f t="shared" si="11"/>
        <v>0.98809523809523814</v>
      </c>
    </row>
    <row r="163" spans="1:7" ht="15.75" customHeight="1">
      <c r="A163" s="3">
        <v>21712</v>
      </c>
      <c r="B163" s="4">
        <v>48</v>
      </c>
      <c r="C163" s="4">
        <v>0.5</v>
      </c>
      <c r="D163" s="4">
        <f t="shared" si="8"/>
        <v>47.5</v>
      </c>
      <c r="E163" s="4">
        <f t="shared" si="9"/>
        <v>47.5</v>
      </c>
      <c r="F163" s="4">
        <f t="shared" si="10"/>
        <v>2256.25</v>
      </c>
      <c r="G163" s="5">
        <f t="shared" si="11"/>
        <v>0.98958333333333337</v>
      </c>
    </row>
    <row r="164" spans="1:7" ht="15.75" customHeight="1">
      <c r="A164" s="3">
        <v>21713</v>
      </c>
      <c r="B164" s="4">
        <v>34</v>
      </c>
      <c r="C164" s="4">
        <v>0.5</v>
      </c>
      <c r="D164" s="4">
        <f t="shared" si="8"/>
        <v>33.5</v>
      </c>
      <c r="E164" s="4">
        <f t="shared" si="9"/>
        <v>33.5</v>
      </c>
      <c r="F164" s="4">
        <f t="shared" si="10"/>
        <v>1122.25</v>
      </c>
      <c r="G164" s="5">
        <f t="shared" si="11"/>
        <v>0.98529411764705888</v>
      </c>
    </row>
    <row r="165" spans="1:7" ht="15.75" customHeight="1">
      <c r="A165" s="3">
        <v>21714</v>
      </c>
      <c r="B165" s="4">
        <v>41</v>
      </c>
      <c r="C165" s="4">
        <v>0.5</v>
      </c>
      <c r="D165" s="4">
        <f t="shared" si="8"/>
        <v>40.5</v>
      </c>
      <c r="E165" s="4">
        <f t="shared" si="9"/>
        <v>40.5</v>
      </c>
      <c r="F165" s="4">
        <f t="shared" si="10"/>
        <v>1640.25</v>
      </c>
      <c r="G165" s="5">
        <f t="shared" si="11"/>
        <v>0.98780487804878048</v>
      </c>
    </row>
    <row r="166" spans="1:7" ht="15.75" customHeight="1">
      <c r="A166" s="3">
        <v>21715</v>
      </c>
      <c r="B166" s="4">
        <v>35</v>
      </c>
      <c r="C166" s="4">
        <v>0.5</v>
      </c>
      <c r="D166" s="4">
        <f t="shared" si="8"/>
        <v>34.5</v>
      </c>
      <c r="E166" s="4">
        <f t="shared" si="9"/>
        <v>34.5</v>
      </c>
      <c r="F166" s="4">
        <f t="shared" si="10"/>
        <v>1190.25</v>
      </c>
      <c r="G166" s="5">
        <f t="shared" si="11"/>
        <v>0.98571428571428577</v>
      </c>
    </row>
    <row r="167" spans="1:7" ht="15.75" customHeight="1">
      <c r="A167" s="3">
        <v>21716</v>
      </c>
      <c r="B167" s="4">
        <v>40</v>
      </c>
      <c r="C167" s="4">
        <v>0.5</v>
      </c>
      <c r="D167" s="4">
        <f t="shared" si="8"/>
        <v>39.5</v>
      </c>
      <c r="E167" s="4">
        <f t="shared" si="9"/>
        <v>39.5</v>
      </c>
      <c r="F167" s="4">
        <f t="shared" si="10"/>
        <v>1560.25</v>
      </c>
      <c r="G167" s="5">
        <f t="shared" si="11"/>
        <v>0.98750000000000004</v>
      </c>
    </row>
    <row r="168" spans="1:7" ht="15.75" customHeight="1">
      <c r="A168" s="3">
        <v>21717</v>
      </c>
      <c r="B168" s="4">
        <v>34</v>
      </c>
      <c r="C168" s="4">
        <v>0.5</v>
      </c>
      <c r="D168" s="4">
        <f t="shared" si="8"/>
        <v>33.5</v>
      </c>
      <c r="E168" s="4">
        <f t="shared" si="9"/>
        <v>33.5</v>
      </c>
      <c r="F168" s="4">
        <f t="shared" si="10"/>
        <v>1122.25</v>
      </c>
      <c r="G168" s="5">
        <f t="shared" si="11"/>
        <v>0.98529411764705888</v>
      </c>
    </row>
    <row r="169" spans="1:7" ht="15.75" customHeight="1">
      <c r="A169" s="3">
        <v>21718</v>
      </c>
      <c r="B169" s="4">
        <v>30</v>
      </c>
      <c r="C169" s="4">
        <v>0.5</v>
      </c>
      <c r="D169" s="4">
        <f t="shared" si="8"/>
        <v>29.5</v>
      </c>
      <c r="E169" s="4">
        <f t="shared" si="9"/>
        <v>29.5</v>
      </c>
      <c r="F169" s="4">
        <f t="shared" si="10"/>
        <v>870.25</v>
      </c>
      <c r="G169" s="5">
        <f t="shared" si="11"/>
        <v>0.98333333333333328</v>
      </c>
    </row>
    <row r="170" spans="1:7" ht="15.75" customHeight="1">
      <c r="A170" s="3">
        <v>21719</v>
      </c>
      <c r="B170" s="4">
        <v>36</v>
      </c>
      <c r="C170" s="4">
        <v>0.5</v>
      </c>
      <c r="D170" s="4">
        <f t="shared" si="8"/>
        <v>35.5</v>
      </c>
      <c r="E170" s="4">
        <f t="shared" si="9"/>
        <v>35.5</v>
      </c>
      <c r="F170" s="4">
        <f t="shared" si="10"/>
        <v>1260.25</v>
      </c>
      <c r="G170" s="5">
        <f t="shared" si="11"/>
        <v>0.98611111111111116</v>
      </c>
    </row>
    <row r="171" spans="1:7" ht="15.75" customHeight="1">
      <c r="A171" s="3">
        <v>21720</v>
      </c>
      <c r="B171" s="4">
        <v>40</v>
      </c>
      <c r="C171" s="4">
        <v>0.5</v>
      </c>
      <c r="D171" s="4">
        <f t="shared" si="8"/>
        <v>39.5</v>
      </c>
      <c r="E171" s="4">
        <f t="shared" si="9"/>
        <v>39.5</v>
      </c>
      <c r="F171" s="4">
        <f t="shared" si="10"/>
        <v>1560.25</v>
      </c>
      <c r="G171" s="5">
        <f t="shared" si="11"/>
        <v>0.98750000000000004</v>
      </c>
    </row>
    <row r="172" spans="1:7" ht="15.75" customHeight="1">
      <c r="A172" s="3">
        <v>21721</v>
      </c>
      <c r="B172" s="4">
        <v>39</v>
      </c>
      <c r="C172" s="4">
        <v>0.5</v>
      </c>
      <c r="D172" s="4">
        <f t="shared" si="8"/>
        <v>38.5</v>
      </c>
      <c r="E172" s="4">
        <f t="shared" si="9"/>
        <v>38.5</v>
      </c>
      <c r="F172" s="4">
        <f t="shared" si="10"/>
        <v>1482.25</v>
      </c>
      <c r="G172" s="5">
        <f t="shared" si="11"/>
        <v>0.98717948717948723</v>
      </c>
    </row>
    <row r="173" spans="1:7" ht="15.75" customHeight="1">
      <c r="A173" s="3">
        <v>21722</v>
      </c>
      <c r="B173" s="4">
        <v>45</v>
      </c>
      <c r="C173" s="4">
        <v>0.5</v>
      </c>
      <c r="D173" s="4">
        <f t="shared" si="8"/>
        <v>44.5</v>
      </c>
      <c r="E173" s="4">
        <f t="shared" si="9"/>
        <v>44.5</v>
      </c>
      <c r="F173" s="4">
        <f t="shared" si="10"/>
        <v>1980.25</v>
      </c>
      <c r="G173" s="5">
        <f t="shared" si="11"/>
        <v>0.98888888888888893</v>
      </c>
    </row>
    <row r="174" spans="1:7" ht="15.75" customHeight="1">
      <c r="A174" s="3">
        <v>21723</v>
      </c>
      <c r="B174" s="4">
        <v>38</v>
      </c>
      <c r="C174" s="4">
        <v>0.5</v>
      </c>
      <c r="D174" s="4">
        <f t="shared" si="8"/>
        <v>37.5</v>
      </c>
      <c r="E174" s="4">
        <f t="shared" si="9"/>
        <v>37.5</v>
      </c>
      <c r="F174" s="4">
        <f t="shared" si="10"/>
        <v>1406.25</v>
      </c>
      <c r="G174" s="5">
        <f t="shared" si="11"/>
        <v>0.98684210526315785</v>
      </c>
    </row>
    <row r="175" spans="1:7" ht="15.75" customHeight="1">
      <c r="A175" s="3">
        <v>21724</v>
      </c>
      <c r="B175" s="4">
        <v>47</v>
      </c>
      <c r="C175" s="4">
        <v>0.5</v>
      </c>
      <c r="D175" s="4">
        <f t="shared" si="8"/>
        <v>46.5</v>
      </c>
      <c r="E175" s="4">
        <f t="shared" si="9"/>
        <v>46.5</v>
      </c>
      <c r="F175" s="4">
        <f t="shared" si="10"/>
        <v>2162.25</v>
      </c>
      <c r="G175" s="5">
        <f t="shared" si="11"/>
        <v>0.98936170212765961</v>
      </c>
    </row>
    <row r="176" spans="1:7" ht="15.75" customHeight="1">
      <c r="A176" s="3">
        <v>21725</v>
      </c>
      <c r="B176" s="4">
        <v>33</v>
      </c>
      <c r="C176" s="4">
        <v>0.5</v>
      </c>
      <c r="D176" s="4">
        <f t="shared" si="8"/>
        <v>32.5</v>
      </c>
      <c r="E176" s="4">
        <f t="shared" si="9"/>
        <v>32.5</v>
      </c>
      <c r="F176" s="4">
        <f t="shared" si="10"/>
        <v>1056.25</v>
      </c>
      <c r="G176" s="5">
        <f t="shared" si="11"/>
        <v>0.98484848484848486</v>
      </c>
    </row>
    <row r="177" spans="1:7" ht="15.75" customHeight="1">
      <c r="A177" s="3">
        <v>21726</v>
      </c>
      <c r="B177" s="4">
        <v>30</v>
      </c>
      <c r="C177" s="4">
        <v>0.5</v>
      </c>
      <c r="D177" s="4">
        <f t="shared" si="8"/>
        <v>29.5</v>
      </c>
      <c r="E177" s="4">
        <f t="shared" si="9"/>
        <v>29.5</v>
      </c>
      <c r="F177" s="4">
        <f t="shared" si="10"/>
        <v>870.25</v>
      </c>
      <c r="G177" s="5">
        <f t="shared" si="11"/>
        <v>0.98333333333333328</v>
      </c>
    </row>
    <row r="178" spans="1:7" ht="15.75" customHeight="1">
      <c r="A178" s="3">
        <v>21727</v>
      </c>
      <c r="B178" s="4">
        <v>42</v>
      </c>
      <c r="C178" s="4">
        <v>0.5</v>
      </c>
      <c r="D178" s="4">
        <f t="shared" si="8"/>
        <v>41.5</v>
      </c>
      <c r="E178" s="4">
        <f t="shared" si="9"/>
        <v>41.5</v>
      </c>
      <c r="F178" s="4">
        <f t="shared" si="10"/>
        <v>1722.25</v>
      </c>
      <c r="G178" s="5">
        <f t="shared" si="11"/>
        <v>0.98809523809523814</v>
      </c>
    </row>
    <row r="179" spans="1:7" ht="15.75" customHeight="1">
      <c r="A179" s="3">
        <v>21728</v>
      </c>
      <c r="B179" s="4">
        <v>43</v>
      </c>
      <c r="C179" s="4">
        <v>0.5</v>
      </c>
      <c r="D179" s="4">
        <f t="shared" si="8"/>
        <v>42.5</v>
      </c>
      <c r="E179" s="4">
        <f t="shared" si="9"/>
        <v>42.5</v>
      </c>
      <c r="F179" s="4">
        <f t="shared" si="10"/>
        <v>1806.25</v>
      </c>
      <c r="G179" s="5">
        <f t="shared" si="11"/>
        <v>0.98837209302325579</v>
      </c>
    </row>
    <row r="180" spans="1:7" ht="15.75" customHeight="1">
      <c r="A180" s="3">
        <v>21729</v>
      </c>
      <c r="B180" s="4">
        <v>41</v>
      </c>
      <c r="C180" s="4">
        <v>0.5</v>
      </c>
      <c r="D180" s="4">
        <f t="shared" si="8"/>
        <v>40.5</v>
      </c>
      <c r="E180" s="4">
        <f t="shared" si="9"/>
        <v>40.5</v>
      </c>
      <c r="F180" s="4">
        <f t="shared" si="10"/>
        <v>1640.25</v>
      </c>
      <c r="G180" s="5">
        <f t="shared" si="11"/>
        <v>0.98780487804878048</v>
      </c>
    </row>
    <row r="181" spans="1:7" ht="15.75" customHeight="1">
      <c r="A181" s="3">
        <v>21730</v>
      </c>
      <c r="B181" s="4">
        <v>41</v>
      </c>
      <c r="C181" s="4">
        <v>0.5</v>
      </c>
      <c r="D181" s="4">
        <f t="shared" si="8"/>
        <v>40.5</v>
      </c>
      <c r="E181" s="4">
        <f t="shared" si="9"/>
        <v>40.5</v>
      </c>
      <c r="F181" s="4">
        <f t="shared" si="10"/>
        <v>1640.25</v>
      </c>
      <c r="G181" s="5">
        <f t="shared" si="11"/>
        <v>0.98780487804878048</v>
      </c>
    </row>
    <row r="182" spans="1:7" ht="15.75" customHeight="1">
      <c r="A182" s="3">
        <v>21731</v>
      </c>
      <c r="B182" s="4">
        <v>59</v>
      </c>
      <c r="C182" s="4">
        <v>0.5</v>
      </c>
      <c r="D182" s="4">
        <f t="shared" si="8"/>
        <v>58.5</v>
      </c>
      <c r="E182" s="4">
        <f t="shared" si="9"/>
        <v>58.5</v>
      </c>
      <c r="F182" s="4">
        <f t="shared" si="10"/>
        <v>3422.25</v>
      </c>
      <c r="G182" s="5">
        <f t="shared" si="11"/>
        <v>0.99152542372881358</v>
      </c>
    </row>
    <row r="183" spans="1:7" ht="15.75" customHeight="1">
      <c r="A183" s="3">
        <v>21732</v>
      </c>
      <c r="B183" s="4">
        <v>43</v>
      </c>
      <c r="C183" s="4">
        <v>0.5</v>
      </c>
      <c r="D183" s="4">
        <f t="shared" si="8"/>
        <v>42.5</v>
      </c>
      <c r="E183" s="4">
        <f t="shared" si="9"/>
        <v>42.5</v>
      </c>
      <c r="F183" s="4">
        <f t="shared" si="10"/>
        <v>1806.25</v>
      </c>
      <c r="G183" s="5">
        <f t="shared" si="11"/>
        <v>0.98837209302325579</v>
      </c>
    </row>
    <row r="184" spans="1:7" ht="15.75" customHeight="1">
      <c r="A184" s="3">
        <v>21733</v>
      </c>
      <c r="B184" s="4">
        <v>45</v>
      </c>
      <c r="C184" s="4">
        <v>0.5</v>
      </c>
      <c r="D184" s="4">
        <f t="shared" si="8"/>
        <v>44.5</v>
      </c>
      <c r="E184" s="4">
        <f t="shared" si="9"/>
        <v>44.5</v>
      </c>
      <c r="F184" s="4">
        <f t="shared" si="10"/>
        <v>1980.25</v>
      </c>
      <c r="G184" s="5">
        <f t="shared" si="11"/>
        <v>0.98888888888888893</v>
      </c>
    </row>
    <row r="185" spans="1:7" ht="15.75" customHeight="1">
      <c r="A185" s="3">
        <v>21734</v>
      </c>
      <c r="B185" s="4">
        <v>38</v>
      </c>
      <c r="C185" s="4">
        <v>0.5</v>
      </c>
      <c r="D185" s="4">
        <f t="shared" si="8"/>
        <v>37.5</v>
      </c>
      <c r="E185" s="4">
        <f t="shared" si="9"/>
        <v>37.5</v>
      </c>
      <c r="F185" s="4">
        <f t="shared" si="10"/>
        <v>1406.25</v>
      </c>
      <c r="G185" s="5">
        <f t="shared" si="11"/>
        <v>0.98684210526315785</v>
      </c>
    </row>
    <row r="186" spans="1:7" ht="15.75" customHeight="1">
      <c r="A186" s="3">
        <v>21735</v>
      </c>
      <c r="B186" s="4">
        <v>37</v>
      </c>
      <c r="C186" s="4">
        <v>0.5</v>
      </c>
      <c r="D186" s="4">
        <f t="shared" si="8"/>
        <v>36.5</v>
      </c>
      <c r="E186" s="4">
        <f t="shared" si="9"/>
        <v>36.5</v>
      </c>
      <c r="F186" s="4">
        <f t="shared" si="10"/>
        <v>1332.25</v>
      </c>
      <c r="G186" s="5">
        <f t="shared" si="11"/>
        <v>0.98648648648648651</v>
      </c>
    </row>
    <row r="187" spans="1:7" ht="15.75" customHeight="1">
      <c r="A187" s="3">
        <v>21736</v>
      </c>
      <c r="B187" s="4">
        <v>45</v>
      </c>
      <c r="C187" s="4">
        <v>0.5</v>
      </c>
      <c r="D187" s="4">
        <f t="shared" si="8"/>
        <v>44.5</v>
      </c>
      <c r="E187" s="4">
        <f t="shared" si="9"/>
        <v>44.5</v>
      </c>
      <c r="F187" s="4">
        <f t="shared" si="10"/>
        <v>1980.25</v>
      </c>
      <c r="G187" s="5">
        <f t="shared" si="11"/>
        <v>0.98888888888888893</v>
      </c>
    </row>
    <row r="188" spans="1:7" ht="15.75" customHeight="1">
      <c r="A188" s="3">
        <v>21737</v>
      </c>
      <c r="B188" s="4">
        <v>42</v>
      </c>
      <c r="C188" s="4">
        <v>0.5</v>
      </c>
      <c r="D188" s="4">
        <f t="shared" si="8"/>
        <v>41.5</v>
      </c>
      <c r="E188" s="4">
        <f t="shared" si="9"/>
        <v>41.5</v>
      </c>
      <c r="F188" s="4">
        <f t="shared" si="10"/>
        <v>1722.25</v>
      </c>
      <c r="G188" s="5">
        <f t="shared" si="11"/>
        <v>0.98809523809523814</v>
      </c>
    </row>
    <row r="189" spans="1:7" ht="15.75" customHeight="1">
      <c r="A189" s="3">
        <v>21738</v>
      </c>
      <c r="B189" s="4">
        <v>57</v>
      </c>
      <c r="C189" s="4">
        <v>0.5</v>
      </c>
      <c r="D189" s="4">
        <f t="shared" si="8"/>
        <v>56.5</v>
      </c>
      <c r="E189" s="4">
        <f t="shared" si="9"/>
        <v>56.5</v>
      </c>
      <c r="F189" s="4">
        <f t="shared" si="10"/>
        <v>3192.25</v>
      </c>
      <c r="G189" s="5">
        <f t="shared" si="11"/>
        <v>0.99122807017543857</v>
      </c>
    </row>
    <row r="190" spans="1:7" ht="15.75" customHeight="1">
      <c r="A190" s="3">
        <v>21739</v>
      </c>
      <c r="B190" s="4">
        <v>46</v>
      </c>
      <c r="C190" s="4">
        <v>0.5</v>
      </c>
      <c r="D190" s="4">
        <f t="shared" si="8"/>
        <v>45.5</v>
      </c>
      <c r="E190" s="4">
        <f t="shared" si="9"/>
        <v>45.5</v>
      </c>
      <c r="F190" s="4">
        <f t="shared" si="10"/>
        <v>2070.25</v>
      </c>
      <c r="G190" s="5">
        <f t="shared" si="11"/>
        <v>0.98913043478260865</v>
      </c>
    </row>
    <row r="191" spans="1:7" ht="15.75" customHeight="1">
      <c r="A191" s="3">
        <v>21740</v>
      </c>
      <c r="B191" s="4">
        <v>51</v>
      </c>
      <c r="C191" s="4">
        <v>0.5</v>
      </c>
      <c r="D191" s="4">
        <f t="shared" si="8"/>
        <v>50.5</v>
      </c>
      <c r="E191" s="4">
        <f t="shared" si="9"/>
        <v>50.5</v>
      </c>
      <c r="F191" s="4">
        <f t="shared" si="10"/>
        <v>2550.25</v>
      </c>
      <c r="G191" s="5">
        <f t="shared" si="11"/>
        <v>0.99019607843137258</v>
      </c>
    </row>
    <row r="192" spans="1:7" ht="15.75" customHeight="1">
      <c r="A192" s="3">
        <v>21741</v>
      </c>
      <c r="B192" s="4">
        <v>41</v>
      </c>
      <c r="C192" s="4">
        <v>0.5</v>
      </c>
      <c r="D192" s="4">
        <f t="shared" si="8"/>
        <v>40.5</v>
      </c>
      <c r="E192" s="4">
        <f t="shared" si="9"/>
        <v>40.5</v>
      </c>
      <c r="F192" s="4">
        <f t="shared" si="10"/>
        <v>1640.25</v>
      </c>
      <c r="G192" s="5">
        <f t="shared" si="11"/>
        <v>0.98780487804878048</v>
      </c>
    </row>
    <row r="193" spans="1:7" ht="15.75" customHeight="1">
      <c r="A193" s="3">
        <v>21742</v>
      </c>
      <c r="B193" s="4">
        <v>47</v>
      </c>
      <c r="C193" s="4">
        <v>0.5</v>
      </c>
      <c r="D193" s="4">
        <f t="shared" si="8"/>
        <v>46.5</v>
      </c>
      <c r="E193" s="4">
        <f t="shared" si="9"/>
        <v>46.5</v>
      </c>
      <c r="F193" s="4">
        <f t="shared" si="10"/>
        <v>2162.25</v>
      </c>
      <c r="G193" s="5">
        <f t="shared" si="11"/>
        <v>0.98936170212765961</v>
      </c>
    </row>
    <row r="194" spans="1:7" ht="15.75" customHeight="1">
      <c r="A194" s="3">
        <v>21743</v>
      </c>
      <c r="B194" s="4">
        <v>26</v>
      </c>
      <c r="C194" s="4">
        <v>0.5</v>
      </c>
      <c r="D194" s="4">
        <f t="shared" si="8"/>
        <v>25.5</v>
      </c>
      <c r="E194" s="4">
        <f t="shared" si="9"/>
        <v>25.5</v>
      </c>
      <c r="F194" s="4">
        <f t="shared" si="10"/>
        <v>650.25</v>
      </c>
      <c r="G194" s="5">
        <f t="shared" si="11"/>
        <v>0.98076923076923073</v>
      </c>
    </row>
    <row r="195" spans="1:7" ht="15.75" customHeight="1">
      <c r="A195" s="3">
        <v>21744</v>
      </c>
      <c r="B195" s="4">
        <v>35</v>
      </c>
      <c r="C195" s="4">
        <v>0.5</v>
      </c>
      <c r="D195" s="4">
        <f t="shared" ref="D195:D258" si="12">B195-C195</f>
        <v>34.5</v>
      </c>
      <c r="E195" s="4">
        <f t="shared" ref="E195:E258" si="13">ABS(D195)</f>
        <v>34.5</v>
      </c>
      <c r="F195" s="4">
        <f t="shared" ref="F195:F258" si="14">E195^2</f>
        <v>1190.25</v>
      </c>
      <c r="G195" s="5">
        <f t="shared" ref="G195:G258" si="15">E195/B195</f>
        <v>0.98571428571428577</v>
      </c>
    </row>
    <row r="196" spans="1:7" ht="15.75" customHeight="1">
      <c r="A196" s="3">
        <v>21745</v>
      </c>
      <c r="B196" s="4">
        <v>44</v>
      </c>
      <c r="C196" s="4">
        <v>0.5</v>
      </c>
      <c r="D196" s="4">
        <f t="shared" si="12"/>
        <v>43.5</v>
      </c>
      <c r="E196" s="4">
        <f t="shared" si="13"/>
        <v>43.5</v>
      </c>
      <c r="F196" s="4">
        <f t="shared" si="14"/>
        <v>1892.25</v>
      </c>
      <c r="G196" s="5">
        <f t="shared" si="15"/>
        <v>0.98863636363636365</v>
      </c>
    </row>
    <row r="197" spans="1:7" ht="15.75" customHeight="1">
      <c r="A197" s="3">
        <v>21746</v>
      </c>
      <c r="B197" s="4">
        <v>41</v>
      </c>
      <c r="C197" s="4">
        <v>0.5</v>
      </c>
      <c r="D197" s="4">
        <f t="shared" si="12"/>
        <v>40.5</v>
      </c>
      <c r="E197" s="4">
        <f t="shared" si="13"/>
        <v>40.5</v>
      </c>
      <c r="F197" s="4">
        <f t="shared" si="14"/>
        <v>1640.25</v>
      </c>
      <c r="G197" s="5">
        <f t="shared" si="15"/>
        <v>0.98780487804878048</v>
      </c>
    </row>
    <row r="198" spans="1:7" ht="15.75" customHeight="1">
      <c r="A198" s="3">
        <v>21747</v>
      </c>
      <c r="B198" s="4">
        <v>42</v>
      </c>
      <c r="C198" s="4">
        <v>0.5</v>
      </c>
      <c r="D198" s="4">
        <f t="shared" si="12"/>
        <v>41.5</v>
      </c>
      <c r="E198" s="4">
        <f t="shared" si="13"/>
        <v>41.5</v>
      </c>
      <c r="F198" s="4">
        <f t="shared" si="14"/>
        <v>1722.25</v>
      </c>
      <c r="G198" s="5">
        <f t="shared" si="15"/>
        <v>0.98809523809523814</v>
      </c>
    </row>
    <row r="199" spans="1:7" ht="15.75" customHeight="1">
      <c r="A199" s="3">
        <v>21748</v>
      </c>
      <c r="B199" s="4">
        <v>36</v>
      </c>
      <c r="C199" s="4">
        <v>0.5</v>
      </c>
      <c r="D199" s="4">
        <f t="shared" si="12"/>
        <v>35.5</v>
      </c>
      <c r="E199" s="4">
        <f t="shared" si="13"/>
        <v>35.5</v>
      </c>
      <c r="F199" s="4">
        <f t="shared" si="14"/>
        <v>1260.25</v>
      </c>
      <c r="G199" s="5">
        <f t="shared" si="15"/>
        <v>0.98611111111111116</v>
      </c>
    </row>
    <row r="200" spans="1:7" ht="15.75" customHeight="1">
      <c r="A200" s="3">
        <v>21749</v>
      </c>
      <c r="B200" s="4">
        <v>45</v>
      </c>
      <c r="C200" s="4">
        <v>0.5</v>
      </c>
      <c r="D200" s="4">
        <f t="shared" si="12"/>
        <v>44.5</v>
      </c>
      <c r="E200" s="4">
        <f t="shared" si="13"/>
        <v>44.5</v>
      </c>
      <c r="F200" s="4">
        <f t="shared" si="14"/>
        <v>1980.25</v>
      </c>
      <c r="G200" s="5">
        <f t="shared" si="15"/>
        <v>0.98888888888888893</v>
      </c>
    </row>
    <row r="201" spans="1:7" ht="15.75" customHeight="1">
      <c r="A201" s="3">
        <v>21750</v>
      </c>
      <c r="B201" s="4">
        <v>45</v>
      </c>
      <c r="C201" s="4">
        <v>0.5</v>
      </c>
      <c r="D201" s="4">
        <f t="shared" si="12"/>
        <v>44.5</v>
      </c>
      <c r="E201" s="4">
        <f t="shared" si="13"/>
        <v>44.5</v>
      </c>
      <c r="F201" s="4">
        <f t="shared" si="14"/>
        <v>1980.25</v>
      </c>
      <c r="G201" s="5">
        <f t="shared" si="15"/>
        <v>0.98888888888888893</v>
      </c>
    </row>
    <row r="202" spans="1:7" ht="15.75" customHeight="1">
      <c r="A202" s="3">
        <v>21751</v>
      </c>
      <c r="B202" s="4">
        <v>45</v>
      </c>
      <c r="C202" s="4">
        <v>0.5</v>
      </c>
      <c r="D202" s="4">
        <f t="shared" si="12"/>
        <v>44.5</v>
      </c>
      <c r="E202" s="4">
        <f t="shared" si="13"/>
        <v>44.5</v>
      </c>
      <c r="F202" s="4">
        <f t="shared" si="14"/>
        <v>1980.25</v>
      </c>
      <c r="G202" s="5">
        <f t="shared" si="15"/>
        <v>0.98888888888888893</v>
      </c>
    </row>
    <row r="203" spans="1:7" ht="15.75" customHeight="1">
      <c r="A203" s="3">
        <v>21752</v>
      </c>
      <c r="B203" s="4">
        <v>47</v>
      </c>
      <c r="C203" s="4">
        <v>0.5</v>
      </c>
      <c r="D203" s="4">
        <f t="shared" si="12"/>
        <v>46.5</v>
      </c>
      <c r="E203" s="4">
        <f t="shared" si="13"/>
        <v>46.5</v>
      </c>
      <c r="F203" s="4">
        <f t="shared" si="14"/>
        <v>2162.25</v>
      </c>
      <c r="G203" s="5">
        <f t="shared" si="15"/>
        <v>0.98936170212765961</v>
      </c>
    </row>
    <row r="204" spans="1:7" ht="15.75" customHeight="1">
      <c r="A204" s="3">
        <v>21753</v>
      </c>
      <c r="B204" s="4">
        <v>38</v>
      </c>
      <c r="C204" s="4">
        <v>0.5</v>
      </c>
      <c r="D204" s="4">
        <f t="shared" si="12"/>
        <v>37.5</v>
      </c>
      <c r="E204" s="4">
        <f t="shared" si="13"/>
        <v>37.5</v>
      </c>
      <c r="F204" s="4">
        <f t="shared" si="14"/>
        <v>1406.25</v>
      </c>
      <c r="G204" s="5">
        <f t="shared" si="15"/>
        <v>0.98684210526315785</v>
      </c>
    </row>
    <row r="205" spans="1:7" ht="15.75" customHeight="1">
      <c r="A205" s="3">
        <v>21754</v>
      </c>
      <c r="B205" s="4">
        <v>42</v>
      </c>
      <c r="C205" s="4">
        <v>0.5</v>
      </c>
      <c r="D205" s="4">
        <f t="shared" si="12"/>
        <v>41.5</v>
      </c>
      <c r="E205" s="4">
        <f t="shared" si="13"/>
        <v>41.5</v>
      </c>
      <c r="F205" s="4">
        <f t="shared" si="14"/>
        <v>1722.25</v>
      </c>
      <c r="G205" s="5">
        <f t="shared" si="15"/>
        <v>0.98809523809523814</v>
      </c>
    </row>
    <row r="206" spans="1:7" ht="15.75" customHeight="1">
      <c r="A206" s="3">
        <v>21755</v>
      </c>
      <c r="B206" s="4">
        <v>35</v>
      </c>
      <c r="C206" s="4">
        <v>0.5</v>
      </c>
      <c r="D206" s="4">
        <f t="shared" si="12"/>
        <v>34.5</v>
      </c>
      <c r="E206" s="4">
        <f t="shared" si="13"/>
        <v>34.5</v>
      </c>
      <c r="F206" s="4">
        <f t="shared" si="14"/>
        <v>1190.25</v>
      </c>
      <c r="G206" s="5">
        <f t="shared" si="15"/>
        <v>0.98571428571428577</v>
      </c>
    </row>
    <row r="207" spans="1:7" ht="15.75" customHeight="1">
      <c r="A207" s="3">
        <v>21756</v>
      </c>
      <c r="B207" s="4">
        <v>36</v>
      </c>
      <c r="C207" s="4">
        <v>0.5</v>
      </c>
      <c r="D207" s="4">
        <f t="shared" si="12"/>
        <v>35.5</v>
      </c>
      <c r="E207" s="4">
        <f t="shared" si="13"/>
        <v>35.5</v>
      </c>
      <c r="F207" s="4">
        <f t="shared" si="14"/>
        <v>1260.25</v>
      </c>
      <c r="G207" s="5">
        <f t="shared" si="15"/>
        <v>0.98611111111111116</v>
      </c>
    </row>
    <row r="208" spans="1:7" ht="15.75" customHeight="1">
      <c r="A208" s="3">
        <v>21757</v>
      </c>
      <c r="B208" s="4">
        <v>39</v>
      </c>
      <c r="C208" s="4">
        <v>0.5</v>
      </c>
      <c r="D208" s="4">
        <f t="shared" si="12"/>
        <v>38.5</v>
      </c>
      <c r="E208" s="4">
        <f t="shared" si="13"/>
        <v>38.5</v>
      </c>
      <c r="F208" s="4">
        <f t="shared" si="14"/>
        <v>1482.25</v>
      </c>
      <c r="G208" s="5">
        <f t="shared" si="15"/>
        <v>0.98717948717948723</v>
      </c>
    </row>
    <row r="209" spans="1:7" ht="15.75" customHeight="1">
      <c r="A209" s="3">
        <v>21758</v>
      </c>
      <c r="B209" s="4">
        <v>45</v>
      </c>
      <c r="C209" s="4">
        <v>0.5</v>
      </c>
      <c r="D209" s="4">
        <f t="shared" si="12"/>
        <v>44.5</v>
      </c>
      <c r="E209" s="4">
        <f t="shared" si="13"/>
        <v>44.5</v>
      </c>
      <c r="F209" s="4">
        <f t="shared" si="14"/>
        <v>1980.25</v>
      </c>
      <c r="G209" s="5">
        <f t="shared" si="15"/>
        <v>0.98888888888888893</v>
      </c>
    </row>
    <row r="210" spans="1:7" ht="15.75" customHeight="1">
      <c r="A210" s="3">
        <v>21759</v>
      </c>
      <c r="B210" s="4">
        <v>43</v>
      </c>
      <c r="C210" s="4">
        <v>0.5</v>
      </c>
      <c r="D210" s="4">
        <f t="shared" si="12"/>
        <v>42.5</v>
      </c>
      <c r="E210" s="4">
        <f t="shared" si="13"/>
        <v>42.5</v>
      </c>
      <c r="F210" s="4">
        <f t="shared" si="14"/>
        <v>1806.25</v>
      </c>
      <c r="G210" s="5">
        <f t="shared" si="15"/>
        <v>0.98837209302325579</v>
      </c>
    </row>
    <row r="211" spans="1:7" ht="15.75" customHeight="1">
      <c r="A211" s="3">
        <v>21760</v>
      </c>
      <c r="B211" s="4">
        <v>47</v>
      </c>
      <c r="C211" s="4">
        <v>0.5</v>
      </c>
      <c r="D211" s="4">
        <f t="shared" si="12"/>
        <v>46.5</v>
      </c>
      <c r="E211" s="4">
        <f t="shared" si="13"/>
        <v>46.5</v>
      </c>
      <c r="F211" s="4">
        <f t="shared" si="14"/>
        <v>2162.25</v>
      </c>
      <c r="G211" s="5">
        <f t="shared" si="15"/>
        <v>0.98936170212765961</v>
      </c>
    </row>
    <row r="212" spans="1:7" ht="15.75" customHeight="1">
      <c r="A212" s="3">
        <v>21761</v>
      </c>
      <c r="B212" s="4">
        <v>36</v>
      </c>
      <c r="C212" s="4">
        <v>0.5</v>
      </c>
      <c r="D212" s="4">
        <f t="shared" si="12"/>
        <v>35.5</v>
      </c>
      <c r="E212" s="4">
        <f t="shared" si="13"/>
        <v>35.5</v>
      </c>
      <c r="F212" s="4">
        <f t="shared" si="14"/>
        <v>1260.25</v>
      </c>
      <c r="G212" s="5">
        <f t="shared" si="15"/>
        <v>0.98611111111111116</v>
      </c>
    </row>
    <row r="213" spans="1:7" ht="15.75" customHeight="1">
      <c r="A213" s="3">
        <v>21762</v>
      </c>
      <c r="B213" s="4">
        <v>41</v>
      </c>
      <c r="C213" s="4">
        <v>0.5</v>
      </c>
      <c r="D213" s="4">
        <f t="shared" si="12"/>
        <v>40.5</v>
      </c>
      <c r="E213" s="4">
        <f t="shared" si="13"/>
        <v>40.5</v>
      </c>
      <c r="F213" s="4">
        <f t="shared" si="14"/>
        <v>1640.25</v>
      </c>
      <c r="G213" s="5">
        <f t="shared" si="15"/>
        <v>0.98780487804878048</v>
      </c>
    </row>
    <row r="214" spans="1:7" ht="15.75" customHeight="1">
      <c r="A214" s="3">
        <v>21763</v>
      </c>
      <c r="B214" s="4">
        <v>50</v>
      </c>
      <c r="C214" s="4">
        <v>0.5</v>
      </c>
      <c r="D214" s="4">
        <f t="shared" si="12"/>
        <v>49.5</v>
      </c>
      <c r="E214" s="4">
        <f t="shared" si="13"/>
        <v>49.5</v>
      </c>
      <c r="F214" s="4">
        <f t="shared" si="14"/>
        <v>2450.25</v>
      </c>
      <c r="G214" s="5">
        <f t="shared" si="15"/>
        <v>0.99</v>
      </c>
    </row>
    <row r="215" spans="1:7" ht="15.75" customHeight="1">
      <c r="A215" s="3">
        <v>21764</v>
      </c>
      <c r="B215" s="4">
        <v>39</v>
      </c>
      <c r="C215" s="4">
        <v>0.5</v>
      </c>
      <c r="D215" s="4">
        <f t="shared" si="12"/>
        <v>38.5</v>
      </c>
      <c r="E215" s="4">
        <f t="shared" si="13"/>
        <v>38.5</v>
      </c>
      <c r="F215" s="4">
        <f t="shared" si="14"/>
        <v>1482.25</v>
      </c>
      <c r="G215" s="5">
        <f t="shared" si="15"/>
        <v>0.98717948717948723</v>
      </c>
    </row>
    <row r="216" spans="1:7" ht="15.75" customHeight="1">
      <c r="A216" s="3">
        <v>21765</v>
      </c>
      <c r="B216" s="4">
        <v>41</v>
      </c>
      <c r="C216" s="4">
        <v>0.5</v>
      </c>
      <c r="D216" s="4">
        <f t="shared" si="12"/>
        <v>40.5</v>
      </c>
      <c r="E216" s="4">
        <f t="shared" si="13"/>
        <v>40.5</v>
      </c>
      <c r="F216" s="4">
        <f t="shared" si="14"/>
        <v>1640.25</v>
      </c>
      <c r="G216" s="5">
        <f t="shared" si="15"/>
        <v>0.98780487804878048</v>
      </c>
    </row>
    <row r="217" spans="1:7" ht="15.75" customHeight="1">
      <c r="A217" s="3">
        <v>21766</v>
      </c>
      <c r="B217" s="4">
        <v>46</v>
      </c>
      <c r="C217" s="4">
        <v>0.5</v>
      </c>
      <c r="D217" s="4">
        <f t="shared" si="12"/>
        <v>45.5</v>
      </c>
      <c r="E217" s="4">
        <f t="shared" si="13"/>
        <v>45.5</v>
      </c>
      <c r="F217" s="4">
        <f t="shared" si="14"/>
        <v>2070.25</v>
      </c>
      <c r="G217" s="5">
        <f t="shared" si="15"/>
        <v>0.98913043478260865</v>
      </c>
    </row>
    <row r="218" spans="1:7" ht="15.75" customHeight="1">
      <c r="A218" s="3">
        <v>21767</v>
      </c>
      <c r="B218" s="4">
        <v>64</v>
      </c>
      <c r="C218" s="4">
        <v>0.5</v>
      </c>
      <c r="D218" s="4">
        <f t="shared" si="12"/>
        <v>63.5</v>
      </c>
      <c r="E218" s="4">
        <f t="shared" si="13"/>
        <v>63.5</v>
      </c>
      <c r="F218" s="4">
        <f t="shared" si="14"/>
        <v>4032.25</v>
      </c>
      <c r="G218" s="5">
        <f t="shared" si="15"/>
        <v>0.9921875</v>
      </c>
    </row>
    <row r="219" spans="1:7" ht="15.75" customHeight="1">
      <c r="A219" s="3">
        <v>21768</v>
      </c>
      <c r="B219" s="4">
        <v>45</v>
      </c>
      <c r="C219" s="4">
        <v>0.5</v>
      </c>
      <c r="D219" s="4">
        <f t="shared" si="12"/>
        <v>44.5</v>
      </c>
      <c r="E219" s="4">
        <f t="shared" si="13"/>
        <v>44.5</v>
      </c>
      <c r="F219" s="4">
        <f t="shared" si="14"/>
        <v>1980.25</v>
      </c>
      <c r="G219" s="5">
        <f t="shared" si="15"/>
        <v>0.98888888888888893</v>
      </c>
    </row>
    <row r="220" spans="1:7" ht="15.75" customHeight="1">
      <c r="A220" s="3">
        <v>21769</v>
      </c>
      <c r="B220" s="4">
        <v>34</v>
      </c>
      <c r="C220" s="4">
        <v>0.5</v>
      </c>
      <c r="D220" s="4">
        <f t="shared" si="12"/>
        <v>33.5</v>
      </c>
      <c r="E220" s="4">
        <f t="shared" si="13"/>
        <v>33.5</v>
      </c>
      <c r="F220" s="4">
        <f t="shared" si="14"/>
        <v>1122.25</v>
      </c>
      <c r="G220" s="5">
        <f t="shared" si="15"/>
        <v>0.98529411764705888</v>
      </c>
    </row>
    <row r="221" spans="1:7" ht="15.75" customHeight="1">
      <c r="A221" s="3">
        <v>21770</v>
      </c>
      <c r="B221" s="4">
        <v>38</v>
      </c>
      <c r="C221" s="4">
        <v>0.5</v>
      </c>
      <c r="D221" s="4">
        <f t="shared" si="12"/>
        <v>37.5</v>
      </c>
      <c r="E221" s="4">
        <f t="shared" si="13"/>
        <v>37.5</v>
      </c>
      <c r="F221" s="4">
        <f t="shared" si="14"/>
        <v>1406.25</v>
      </c>
      <c r="G221" s="5">
        <f t="shared" si="15"/>
        <v>0.98684210526315785</v>
      </c>
    </row>
    <row r="222" spans="1:7" ht="15.75" customHeight="1">
      <c r="A222" s="3">
        <v>21771</v>
      </c>
      <c r="B222" s="4">
        <v>44</v>
      </c>
      <c r="C222" s="4">
        <v>0.5</v>
      </c>
      <c r="D222" s="4">
        <f t="shared" si="12"/>
        <v>43.5</v>
      </c>
      <c r="E222" s="4">
        <f t="shared" si="13"/>
        <v>43.5</v>
      </c>
      <c r="F222" s="4">
        <f t="shared" si="14"/>
        <v>1892.25</v>
      </c>
      <c r="G222" s="5">
        <f t="shared" si="15"/>
        <v>0.98863636363636365</v>
      </c>
    </row>
    <row r="223" spans="1:7" ht="15.75" customHeight="1">
      <c r="A223" s="3">
        <v>21772</v>
      </c>
      <c r="B223" s="4">
        <v>48</v>
      </c>
      <c r="C223" s="4">
        <v>0.5</v>
      </c>
      <c r="D223" s="4">
        <f t="shared" si="12"/>
        <v>47.5</v>
      </c>
      <c r="E223" s="4">
        <f t="shared" si="13"/>
        <v>47.5</v>
      </c>
      <c r="F223" s="4">
        <f t="shared" si="14"/>
        <v>2256.25</v>
      </c>
      <c r="G223" s="5">
        <f t="shared" si="15"/>
        <v>0.98958333333333337</v>
      </c>
    </row>
    <row r="224" spans="1:7" ht="15.75" customHeight="1">
      <c r="A224" s="3">
        <v>21773</v>
      </c>
      <c r="B224" s="4">
        <v>46</v>
      </c>
      <c r="C224" s="4">
        <v>0.5</v>
      </c>
      <c r="D224" s="4">
        <f t="shared" si="12"/>
        <v>45.5</v>
      </c>
      <c r="E224" s="4">
        <f t="shared" si="13"/>
        <v>45.5</v>
      </c>
      <c r="F224" s="4">
        <f t="shared" si="14"/>
        <v>2070.25</v>
      </c>
      <c r="G224" s="5">
        <f t="shared" si="15"/>
        <v>0.98913043478260865</v>
      </c>
    </row>
    <row r="225" spans="1:7" ht="15.75" customHeight="1">
      <c r="A225" s="3">
        <v>21774</v>
      </c>
      <c r="B225" s="4">
        <v>44</v>
      </c>
      <c r="C225" s="4">
        <v>0.5</v>
      </c>
      <c r="D225" s="4">
        <f t="shared" si="12"/>
        <v>43.5</v>
      </c>
      <c r="E225" s="4">
        <f t="shared" si="13"/>
        <v>43.5</v>
      </c>
      <c r="F225" s="4">
        <f t="shared" si="14"/>
        <v>1892.25</v>
      </c>
      <c r="G225" s="5">
        <f t="shared" si="15"/>
        <v>0.98863636363636365</v>
      </c>
    </row>
    <row r="226" spans="1:7" ht="15.75" customHeight="1">
      <c r="A226" s="3">
        <v>21775</v>
      </c>
      <c r="B226" s="4">
        <v>37</v>
      </c>
      <c r="C226" s="4">
        <v>0.5</v>
      </c>
      <c r="D226" s="4">
        <f t="shared" si="12"/>
        <v>36.5</v>
      </c>
      <c r="E226" s="4">
        <f t="shared" si="13"/>
        <v>36.5</v>
      </c>
      <c r="F226" s="4">
        <f t="shared" si="14"/>
        <v>1332.25</v>
      </c>
      <c r="G226" s="5">
        <f t="shared" si="15"/>
        <v>0.98648648648648651</v>
      </c>
    </row>
    <row r="227" spans="1:7" ht="15.75" customHeight="1">
      <c r="A227" s="3">
        <v>21776</v>
      </c>
      <c r="B227" s="4">
        <v>39</v>
      </c>
      <c r="C227" s="4">
        <v>0.5</v>
      </c>
      <c r="D227" s="4">
        <f t="shared" si="12"/>
        <v>38.5</v>
      </c>
      <c r="E227" s="4">
        <f t="shared" si="13"/>
        <v>38.5</v>
      </c>
      <c r="F227" s="4">
        <f t="shared" si="14"/>
        <v>1482.25</v>
      </c>
      <c r="G227" s="5">
        <f t="shared" si="15"/>
        <v>0.98717948717948723</v>
      </c>
    </row>
    <row r="228" spans="1:7" ht="15.75" customHeight="1">
      <c r="A228" s="3">
        <v>21777</v>
      </c>
      <c r="B228" s="4">
        <v>44</v>
      </c>
      <c r="C228" s="4">
        <v>0.5</v>
      </c>
      <c r="D228" s="4">
        <f t="shared" si="12"/>
        <v>43.5</v>
      </c>
      <c r="E228" s="4">
        <f t="shared" si="13"/>
        <v>43.5</v>
      </c>
      <c r="F228" s="4">
        <f t="shared" si="14"/>
        <v>1892.25</v>
      </c>
      <c r="G228" s="5">
        <f t="shared" si="15"/>
        <v>0.98863636363636365</v>
      </c>
    </row>
    <row r="229" spans="1:7" ht="15.75" customHeight="1">
      <c r="A229" s="3">
        <v>21778</v>
      </c>
      <c r="B229" s="4">
        <v>45</v>
      </c>
      <c r="C229" s="4">
        <v>0.5</v>
      </c>
      <c r="D229" s="4">
        <f t="shared" si="12"/>
        <v>44.5</v>
      </c>
      <c r="E229" s="4">
        <f t="shared" si="13"/>
        <v>44.5</v>
      </c>
      <c r="F229" s="4">
        <f t="shared" si="14"/>
        <v>1980.25</v>
      </c>
      <c r="G229" s="5">
        <f t="shared" si="15"/>
        <v>0.98888888888888893</v>
      </c>
    </row>
    <row r="230" spans="1:7" ht="15.75" customHeight="1">
      <c r="A230" s="3">
        <v>21779</v>
      </c>
      <c r="B230" s="4">
        <v>33</v>
      </c>
      <c r="C230" s="4">
        <v>0.5</v>
      </c>
      <c r="D230" s="4">
        <f t="shared" si="12"/>
        <v>32.5</v>
      </c>
      <c r="E230" s="4">
        <f t="shared" si="13"/>
        <v>32.5</v>
      </c>
      <c r="F230" s="4">
        <f t="shared" si="14"/>
        <v>1056.25</v>
      </c>
      <c r="G230" s="5">
        <f t="shared" si="15"/>
        <v>0.98484848484848486</v>
      </c>
    </row>
    <row r="231" spans="1:7" ht="15.75" customHeight="1">
      <c r="A231" s="3">
        <v>21780</v>
      </c>
      <c r="B231" s="4">
        <v>44</v>
      </c>
      <c r="C231" s="4">
        <v>0.5</v>
      </c>
      <c r="D231" s="4">
        <f t="shared" si="12"/>
        <v>43.5</v>
      </c>
      <c r="E231" s="4">
        <f t="shared" si="13"/>
        <v>43.5</v>
      </c>
      <c r="F231" s="4">
        <f t="shared" si="14"/>
        <v>1892.25</v>
      </c>
      <c r="G231" s="5">
        <f t="shared" si="15"/>
        <v>0.98863636363636365</v>
      </c>
    </row>
    <row r="232" spans="1:7" ht="15.75" customHeight="1">
      <c r="A232" s="3">
        <v>21781</v>
      </c>
      <c r="B232" s="4">
        <v>38</v>
      </c>
      <c r="C232" s="4">
        <v>0.5</v>
      </c>
      <c r="D232" s="4">
        <f t="shared" si="12"/>
        <v>37.5</v>
      </c>
      <c r="E232" s="4">
        <f t="shared" si="13"/>
        <v>37.5</v>
      </c>
      <c r="F232" s="4">
        <f t="shared" si="14"/>
        <v>1406.25</v>
      </c>
      <c r="G232" s="5">
        <f t="shared" si="15"/>
        <v>0.98684210526315785</v>
      </c>
    </row>
    <row r="233" spans="1:7" ht="15.75" customHeight="1">
      <c r="A233" s="3">
        <v>21782</v>
      </c>
      <c r="B233" s="4">
        <v>46</v>
      </c>
      <c r="C233" s="4">
        <v>0.5</v>
      </c>
      <c r="D233" s="4">
        <f t="shared" si="12"/>
        <v>45.5</v>
      </c>
      <c r="E233" s="4">
        <f t="shared" si="13"/>
        <v>45.5</v>
      </c>
      <c r="F233" s="4">
        <f t="shared" si="14"/>
        <v>2070.25</v>
      </c>
      <c r="G233" s="5">
        <f t="shared" si="15"/>
        <v>0.98913043478260865</v>
      </c>
    </row>
    <row r="234" spans="1:7" ht="15.75" customHeight="1">
      <c r="A234" s="3">
        <v>21783</v>
      </c>
      <c r="B234" s="4">
        <v>46</v>
      </c>
      <c r="C234" s="4">
        <v>0.5</v>
      </c>
      <c r="D234" s="4">
        <f t="shared" si="12"/>
        <v>45.5</v>
      </c>
      <c r="E234" s="4">
        <f t="shared" si="13"/>
        <v>45.5</v>
      </c>
      <c r="F234" s="4">
        <f t="shared" si="14"/>
        <v>2070.25</v>
      </c>
      <c r="G234" s="5">
        <f t="shared" si="15"/>
        <v>0.98913043478260865</v>
      </c>
    </row>
    <row r="235" spans="1:7" ht="15.75" customHeight="1">
      <c r="A235" s="3">
        <v>21784</v>
      </c>
      <c r="B235" s="4">
        <v>40</v>
      </c>
      <c r="C235" s="4">
        <v>0.5</v>
      </c>
      <c r="D235" s="4">
        <f t="shared" si="12"/>
        <v>39.5</v>
      </c>
      <c r="E235" s="4">
        <f t="shared" si="13"/>
        <v>39.5</v>
      </c>
      <c r="F235" s="4">
        <f t="shared" si="14"/>
        <v>1560.25</v>
      </c>
      <c r="G235" s="5">
        <f t="shared" si="15"/>
        <v>0.98750000000000004</v>
      </c>
    </row>
    <row r="236" spans="1:7" ht="15.75" customHeight="1">
      <c r="A236" s="3">
        <v>21785</v>
      </c>
      <c r="B236" s="4">
        <v>39</v>
      </c>
      <c r="C236" s="4">
        <v>0.5</v>
      </c>
      <c r="D236" s="4">
        <f t="shared" si="12"/>
        <v>38.5</v>
      </c>
      <c r="E236" s="4">
        <f t="shared" si="13"/>
        <v>38.5</v>
      </c>
      <c r="F236" s="4">
        <f t="shared" si="14"/>
        <v>1482.25</v>
      </c>
      <c r="G236" s="5">
        <f t="shared" si="15"/>
        <v>0.98717948717948723</v>
      </c>
    </row>
    <row r="237" spans="1:7" ht="15.75" customHeight="1">
      <c r="A237" s="3">
        <v>21786</v>
      </c>
      <c r="B237" s="4">
        <v>44</v>
      </c>
      <c r="C237" s="4">
        <v>0.5</v>
      </c>
      <c r="D237" s="4">
        <f t="shared" si="12"/>
        <v>43.5</v>
      </c>
      <c r="E237" s="4">
        <f t="shared" si="13"/>
        <v>43.5</v>
      </c>
      <c r="F237" s="4">
        <f t="shared" si="14"/>
        <v>1892.25</v>
      </c>
      <c r="G237" s="5">
        <f t="shared" si="15"/>
        <v>0.98863636363636365</v>
      </c>
    </row>
    <row r="238" spans="1:7" ht="15.75" customHeight="1">
      <c r="A238" s="3">
        <v>21787</v>
      </c>
      <c r="B238" s="4">
        <v>48</v>
      </c>
      <c r="C238" s="4">
        <v>0.5</v>
      </c>
      <c r="D238" s="4">
        <f t="shared" si="12"/>
        <v>47.5</v>
      </c>
      <c r="E238" s="4">
        <f t="shared" si="13"/>
        <v>47.5</v>
      </c>
      <c r="F238" s="4">
        <f t="shared" si="14"/>
        <v>2256.25</v>
      </c>
      <c r="G238" s="5">
        <f t="shared" si="15"/>
        <v>0.98958333333333337</v>
      </c>
    </row>
    <row r="239" spans="1:7" ht="15.75" customHeight="1">
      <c r="A239" s="3">
        <v>21788</v>
      </c>
      <c r="B239" s="4">
        <v>50</v>
      </c>
      <c r="C239" s="4">
        <v>0.5</v>
      </c>
      <c r="D239" s="4">
        <f t="shared" si="12"/>
        <v>49.5</v>
      </c>
      <c r="E239" s="4">
        <f t="shared" si="13"/>
        <v>49.5</v>
      </c>
      <c r="F239" s="4">
        <f t="shared" si="14"/>
        <v>2450.25</v>
      </c>
      <c r="G239" s="5">
        <f t="shared" si="15"/>
        <v>0.99</v>
      </c>
    </row>
    <row r="240" spans="1:7" ht="15.75" customHeight="1">
      <c r="A240" s="3">
        <v>21789</v>
      </c>
      <c r="B240" s="4">
        <v>41</v>
      </c>
      <c r="C240" s="4">
        <v>0.5</v>
      </c>
      <c r="D240" s="4">
        <f t="shared" si="12"/>
        <v>40.5</v>
      </c>
      <c r="E240" s="4">
        <f t="shared" si="13"/>
        <v>40.5</v>
      </c>
      <c r="F240" s="4">
        <f t="shared" si="14"/>
        <v>1640.25</v>
      </c>
      <c r="G240" s="5">
        <f t="shared" si="15"/>
        <v>0.98780487804878048</v>
      </c>
    </row>
    <row r="241" spans="1:7" ht="15.75" customHeight="1">
      <c r="A241" s="3">
        <v>21790</v>
      </c>
      <c r="B241" s="4">
        <v>42</v>
      </c>
      <c r="C241" s="4">
        <v>0.5</v>
      </c>
      <c r="D241" s="4">
        <f t="shared" si="12"/>
        <v>41.5</v>
      </c>
      <c r="E241" s="4">
        <f t="shared" si="13"/>
        <v>41.5</v>
      </c>
      <c r="F241" s="4">
        <f t="shared" si="14"/>
        <v>1722.25</v>
      </c>
      <c r="G241" s="5">
        <f t="shared" si="15"/>
        <v>0.98809523809523814</v>
      </c>
    </row>
    <row r="242" spans="1:7" ht="15.75" customHeight="1">
      <c r="A242" s="3">
        <v>21791</v>
      </c>
      <c r="B242" s="4">
        <v>51</v>
      </c>
      <c r="C242" s="4">
        <v>0.5</v>
      </c>
      <c r="D242" s="4">
        <f t="shared" si="12"/>
        <v>50.5</v>
      </c>
      <c r="E242" s="4">
        <f t="shared" si="13"/>
        <v>50.5</v>
      </c>
      <c r="F242" s="4">
        <f t="shared" si="14"/>
        <v>2550.25</v>
      </c>
      <c r="G242" s="5">
        <f t="shared" si="15"/>
        <v>0.99019607843137258</v>
      </c>
    </row>
    <row r="243" spans="1:7" ht="15.75" customHeight="1">
      <c r="A243" s="3">
        <v>21792</v>
      </c>
      <c r="B243" s="4">
        <v>41</v>
      </c>
      <c r="C243" s="4">
        <v>0.5</v>
      </c>
      <c r="D243" s="4">
        <f t="shared" si="12"/>
        <v>40.5</v>
      </c>
      <c r="E243" s="4">
        <f t="shared" si="13"/>
        <v>40.5</v>
      </c>
      <c r="F243" s="4">
        <f t="shared" si="14"/>
        <v>1640.25</v>
      </c>
      <c r="G243" s="5">
        <f t="shared" si="15"/>
        <v>0.98780487804878048</v>
      </c>
    </row>
    <row r="244" spans="1:7" ht="15.75" customHeight="1">
      <c r="A244" s="3">
        <v>21793</v>
      </c>
      <c r="B244" s="4">
        <v>44</v>
      </c>
      <c r="C244" s="4">
        <v>0.5</v>
      </c>
      <c r="D244" s="4">
        <f t="shared" si="12"/>
        <v>43.5</v>
      </c>
      <c r="E244" s="4">
        <f t="shared" si="13"/>
        <v>43.5</v>
      </c>
      <c r="F244" s="4">
        <f t="shared" si="14"/>
        <v>1892.25</v>
      </c>
      <c r="G244" s="5">
        <f t="shared" si="15"/>
        <v>0.98863636363636365</v>
      </c>
    </row>
    <row r="245" spans="1:7" ht="15.75" customHeight="1">
      <c r="A245" s="3">
        <v>21794</v>
      </c>
      <c r="B245" s="4">
        <v>38</v>
      </c>
      <c r="C245" s="4">
        <v>0.5</v>
      </c>
      <c r="D245" s="4">
        <f t="shared" si="12"/>
        <v>37.5</v>
      </c>
      <c r="E245" s="4">
        <f t="shared" si="13"/>
        <v>37.5</v>
      </c>
      <c r="F245" s="4">
        <f t="shared" si="14"/>
        <v>1406.25</v>
      </c>
      <c r="G245" s="5">
        <f t="shared" si="15"/>
        <v>0.98684210526315785</v>
      </c>
    </row>
    <row r="246" spans="1:7" ht="15.75" customHeight="1">
      <c r="A246" s="3">
        <v>21795</v>
      </c>
      <c r="B246" s="4">
        <v>68</v>
      </c>
      <c r="C246" s="4">
        <v>0.5</v>
      </c>
      <c r="D246" s="4">
        <f t="shared" si="12"/>
        <v>67.5</v>
      </c>
      <c r="E246" s="4">
        <f t="shared" si="13"/>
        <v>67.5</v>
      </c>
      <c r="F246" s="4">
        <f t="shared" si="14"/>
        <v>4556.25</v>
      </c>
      <c r="G246" s="5">
        <f t="shared" si="15"/>
        <v>0.99264705882352944</v>
      </c>
    </row>
    <row r="247" spans="1:7" ht="15.75" customHeight="1">
      <c r="A247" s="3">
        <v>21796</v>
      </c>
      <c r="B247" s="4">
        <v>40</v>
      </c>
      <c r="C247" s="4">
        <v>0.5</v>
      </c>
      <c r="D247" s="4">
        <f t="shared" si="12"/>
        <v>39.5</v>
      </c>
      <c r="E247" s="4">
        <f t="shared" si="13"/>
        <v>39.5</v>
      </c>
      <c r="F247" s="4">
        <f t="shared" si="14"/>
        <v>1560.25</v>
      </c>
      <c r="G247" s="5">
        <f t="shared" si="15"/>
        <v>0.98750000000000004</v>
      </c>
    </row>
    <row r="248" spans="1:7" ht="15.75" customHeight="1">
      <c r="A248" s="3">
        <v>21797</v>
      </c>
      <c r="B248" s="4">
        <v>42</v>
      </c>
      <c r="C248" s="4">
        <v>0.5</v>
      </c>
      <c r="D248" s="4">
        <f t="shared" si="12"/>
        <v>41.5</v>
      </c>
      <c r="E248" s="4">
        <f t="shared" si="13"/>
        <v>41.5</v>
      </c>
      <c r="F248" s="4">
        <f t="shared" si="14"/>
        <v>1722.25</v>
      </c>
      <c r="G248" s="5">
        <f t="shared" si="15"/>
        <v>0.98809523809523814</v>
      </c>
    </row>
    <row r="249" spans="1:7" ht="15.75" customHeight="1">
      <c r="A249" s="3">
        <v>21798</v>
      </c>
      <c r="B249" s="4">
        <v>51</v>
      </c>
      <c r="C249" s="4">
        <v>0.5</v>
      </c>
      <c r="D249" s="4">
        <f t="shared" si="12"/>
        <v>50.5</v>
      </c>
      <c r="E249" s="4">
        <f t="shared" si="13"/>
        <v>50.5</v>
      </c>
      <c r="F249" s="4">
        <f t="shared" si="14"/>
        <v>2550.25</v>
      </c>
      <c r="G249" s="5">
        <f t="shared" si="15"/>
        <v>0.99019607843137258</v>
      </c>
    </row>
    <row r="250" spans="1:7" ht="15.75" customHeight="1">
      <c r="A250" s="3">
        <v>21799</v>
      </c>
      <c r="B250" s="4">
        <v>44</v>
      </c>
      <c r="C250" s="4">
        <v>0.5</v>
      </c>
      <c r="D250" s="4">
        <f t="shared" si="12"/>
        <v>43.5</v>
      </c>
      <c r="E250" s="4">
        <f t="shared" si="13"/>
        <v>43.5</v>
      </c>
      <c r="F250" s="4">
        <f t="shared" si="14"/>
        <v>1892.25</v>
      </c>
      <c r="G250" s="5">
        <f t="shared" si="15"/>
        <v>0.98863636363636365</v>
      </c>
    </row>
    <row r="251" spans="1:7" ht="15.75" customHeight="1">
      <c r="A251" s="3">
        <v>21800</v>
      </c>
      <c r="B251" s="4">
        <v>45</v>
      </c>
      <c r="C251" s="4">
        <v>0.5</v>
      </c>
      <c r="D251" s="4">
        <f t="shared" si="12"/>
        <v>44.5</v>
      </c>
      <c r="E251" s="4">
        <f t="shared" si="13"/>
        <v>44.5</v>
      </c>
      <c r="F251" s="4">
        <f t="shared" si="14"/>
        <v>1980.25</v>
      </c>
      <c r="G251" s="5">
        <f t="shared" si="15"/>
        <v>0.98888888888888893</v>
      </c>
    </row>
    <row r="252" spans="1:7" ht="15.75" customHeight="1">
      <c r="A252" s="3">
        <v>21801</v>
      </c>
      <c r="B252" s="4">
        <v>36</v>
      </c>
      <c r="C252" s="4">
        <v>0.5</v>
      </c>
      <c r="D252" s="4">
        <f t="shared" si="12"/>
        <v>35.5</v>
      </c>
      <c r="E252" s="4">
        <f t="shared" si="13"/>
        <v>35.5</v>
      </c>
      <c r="F252" s="4">
        <f t="shared" si="14"/>
        <v>1260.25</v>
      </c>
      <c r="G252" s="5">
        <f t="shared" si="15"/>
        <v>0.98611111111111116</v>
      </c>
    </row>
    <row r="253" spans="1:7" ht="15.75" customHeight="1">
      <c r="A253" s="3">
        <v>21802</v>
      </c>
      <c r="B253" s="4">
        <v>57</v>
      </c>
      <c r="C253" s="4">
        <v>0.5</v>
      </c>
      <c r="D253" s="4">
        <f t="shared" si="12"/>
        <v>56.5</v>
      </c>
      <c r="E253" s="4">
        <f t="shared" si="13"/>
        <v>56.5</v>
      </c>
      <c r="F253" s="4">
        <f t="shared" si="14"/>
        <v>3192.25</v>
      </c>
      <c r="G253" s="5">
        <f t="shared" si="15"/>
        <v>0.99122807017543857</v>
      </c>
    </row>
    <row r="254" spans="1:7" ht="15.75" customHeight="1">
      <c r="A254" s="3">
        <v>21803</v>
      </c>
      <c r="B254" s="4">
        <v>44</v>
      </c>
      <c r="C254" s="4">
        <v>0.5</v>
      </c>
      <c r="D254" s="4">
        <f t="shared" si="12"/>
        <v>43.5</v>
      </c>
      <c r="E254" s="4">
        <f t="shared" si="13"/>
        <v>43.5</v>
      </c>
      <c r="F254" s="4">
        <f t="shared" si="14"/>
        <v>1892.25</v>
      </c>
      <c r="G254" s="5">
        <f t="shared" si="15"/>
        <v>0.98863636363636365</v>
      </c>
    </row>
    <row r="255" spans="1:7" ht="15.75" customHeight="1">
      <c r="A255" s="3">
        <v>21804</v>
      </c>
      <c r="B255" s="4">
        <v>42</v>
      </c>
      <c r="C255" s="4">
        <v>0.5</v>
      </c>
      <c r="D255" s="4">
        <f t="shared" si="12"/>
        <v>41.5</v>
      </c>
      <c r="E255" s="4">
        <f t="shared" si="13"/>
        <v>41.5</v>
      </c>
      <c r="F255" s="4">
        <f t="shared" si="14"/>
        <v>1722.25</v>
      </c>
      <c r="G255" s="5">
        <f t="shared" si="15"/>
        <v>0.98809523809523814</v>
      </c>
    </row>
    <row r="256" spans="1:7" ht="15.75" customHeight="1">
      <c r="A256" s="3">
        <v>21805</v>
      </c>
      <c r="B256" s="4">
        <v>53</v>
      </c>
      <c r="C256" s="4">
        <v>0.5</v>
      </c>
      <c r="D256" s="4">
        <f t="shared" si="12"/>
        <v>52.5</v>
      </c>
      <c r="E256" s="4">
        <f t="shared" si="13"/>
        <v>52.5</v>
      </c>
      <c r="F256" s="4">
        <f t="shared" si="14"/>
        <v>2756.25</v>
      </c>
      <c r="G256" s="5">
        <f t="shared" si="15"/>
        <v>0.99056603773584906</v>
      </c>
    </row>
    <row r="257" spans="1:7" ht="15.75" customHeight="1">
      <c r="A257" s="3">
        <v>21806</v>
      </c>
      <c r="B257" s="4">
        <v>42</v>
      </c>
      <c r="C257" s="4">
        <v>0.5</v>
      </c>
      <c r="D257" s="4">
        <f t="shared" si="12"/>
        <v>41.5</v>
      </c>
      <c r="E257" s="4">
        <f t="shared" si="13"/>
        <v>41.5</v>
      </c>
      <c r="F257" s="4">
        <f t="shared" si="14"/>
        <v>1722.25</v>
      </c>
      <c r="G257" s="5">
        <f t="shared" si="15"/>
        <v>0.98809523809523814</v>
      </c>
    </row>
    <row r="258" spans="1:7" ht="15.75" customHeight="1">
      <c r="A258" s="3">
        <v>21807</v>
      </c>
      <c r="B258" s="4">
        <v>34</v>
      </c>
      <c r="C258" s="4">
        <v>0.5</v>
      </c>
      <c r="D258" s="4">
        <f t="shared" si="12"/>
        <v>33.5</v>
      </c>
      <c r="E258" s="4">
        <f t="shared" si="13"/>
        <v>33.5</v>
      </c>
      <c r="F258" s="4">
        <f t="shared" si="14"/>
        <v>1122.25</v>
      </c>
      <c r="G258" s="5">
        <f t="shared" si="15"/>
        <v>0.98529411764705888</v>
      </c>
    </row>
    <row r="259" spans="1:7" ht="15.75" customHeight="1">
      <c r="A259" s="3">
        <v>21808</v>
      </c>
      <c r="B259" s="4">
        <v>40</v>
      </c>
      <c r="C259" s="4">
        <v>0.5</v>
      </c>
      <c r="D259" s="4">
        <f t="shared" ref="D259:D322" si="16">B259-C259</f>
        <v>39.5</v>
      </c>
      <c r="E259" s="4">
        <f t="shared" ref="E259:E322" si="17">ABS(D259)</f>
        <v>39.5</v>
      </c>
      <c r="F259" s="4">
        <f t="shared" ref="F259:F322" si="18">E259^2</f>
        <v>1560.25</v>
      </c>
      <c r="G259" s="5">
        <f t="shared" ref="G259:G322" si="19">E259/B259</f>
        <v>0.98750000000000004</v>
      </c>
    </row>
    <row r="260" spans="1:7" ht="15.75" customHeight="1">
      <c r="A260" s="3">
        <v>21809</v>
      </c>
      <c r="B260" s="4">
        <v>56</v>
      </c>
      <c r="C260" s="4">
        <v>0.5</v>
      </c>
      <c r="D260" s="4">
        <f t="shared" si="16"/>
        <v>55.5</v>
      </c>
      <c r="E260" s="4">
        <f t="shared" si="17"/>
        <v>55.5</v>
      </c>
      <c r="F260" s="4">
        <f t="shared" si="18"/>
        <v>3080.25</v>
      </c>
      <c r="G260" s="5">
        <f t="shared" si="19"/>
        <v>0.9910714285714286</v>
      </c>
    </row>
    <row r="261" spans="1:7" ht="15.75" customHeight="1">
      <c r="A261" s="3">
        <v>21810</v>
      </c>
      <c r="B261" s="4">
        <v>44</v>
      </c>
      <c r="C261" s="4">
        <v>0.5</v>
      </c>
      <c r="D261" s="4">
        <f t="shared" si="16"/>
        <v>43.5</v>
      </c>
      <c r="E261" s="4">
        <f t="shared" si="17"/>
        <v>43.5</v>
      </c>
      <c r="F261" s="4">
        <f t="shared" si="18"/>
        <v>1892.25</v>
      </c>
      <c r="G261" s="5">
        <f t="shared" si="19"/>
        <v>0.98863636363636365</v>
      </c>
    </row>
    <row r="262" spans="1:7" ht="15.75" customHeight="1">
      <c r="A262" s="3">
        <v>21811</v>
      </c>
      <c r="B262" s="4">
        <v>53</v>
      </c>
      <c r="C262" s="4">
        <v>0.5</v>
      </c>
      <c r="D262" s="4">
        <f t="shared" si="16"/>
        <v>52.5</v>
      </c>
      <c r="E262" s="4">
        <f t="shared" si="17"/>
        <v>52.5</v>
      </c>
      <c r="F262" s="4">
        <f t="shared" si="18"/>
        <v>2756.25</v>
      </c>
      <c r="G262" s="5">
        <f t="shared" si="19"/>
        <v>0.99056603773584906</v>
      </c>
    </row>
    <row r="263" spans="1:7" ht="15.75" customHeight="1">
      <c r="A263" s="3">
        <v>21812</v>
      </c>
      <c r="B263" s="4">
        <v>55</v>
      </c>
      <c r="C263" s="4">
        <v>0.5</v>
      </c>
      <c r="D263" s="4">
        <f t="shared" si="16"/>
        <v>54.5</v>
      </c>
      <c r="E263" s="4">
        <f t="shared" si="17"/>
        <v>54.5</v>
      </c>
      <c r="F263" s="4">
        <f t="shared" si="18"/>
        <v>2970.25</v>
      </c>
      <c r="G263" s="5">
        <f t="shared" si="19"/>
        <v>0.99090909090909096</v>
      </c>
    </row>
    <row r="264" spans="1:7" ht="15.75" customHeight="1">
      <c r="A264" s="3">
        <v>21813</v>
      </c>
      <c r="B264" s="4">
        <v>39</v>
      </c>
      <c r="C264" s="4">
        <v>0.5</v>
      </c>
      <c r="D264" s="4">
        <f t="shared" si="16"/>
        <v>38.5</v>
      </c>
      <c r="E264" s="4">
        <f t="shared" si="17"/>
        <v>38.5</v>
      </c>
      <c r="F264" s="4">
        <f t="shared" si="18"/>
        <v>1482.25</v>
      </c>
      <c r="G264" s="5">
        <f t="shared" si="19"/>
        <v>0.98717948717948723</v>
      </c>
    </row>
    <row r="265" spans="1:7" ht="15.75" customHeight="1">
      <c r="A265" s="3">
        <v>21814</v>
      </c>
      <c r="B265" s="4">
        <v>59</v>
      </c>
      <c r="C265" s="4">
        <v>0.5</v>
      </c>
      <c r="D265" s="4">
        <f t="shared" si="16"/>
        <v>58.5</v>
      </c>
      <c r="E265" s="4">
        <f t="shared" si="17"/>
        <v>58.5</v>
      </c>
      <c r="F265" s="4">
        <f t="shared" si="18"/>
        <v>3422.25</v>
      </c>
      <c r="G265" s="5">
        <f t="shared" si="19"/>
        <v>0.99152542372881358</v>
      </c>
    </row>
    <row r="266" spans="1:7" ht="15.75" customHeight="1">
      <c r="A266" s="3">
        <v>21815</v>
      </c>
      <c r="B266" s="4">
        <v>55</v>
      </c>
      <c r="C266" s="4">
        <v>0.5</v>
      </c>
      <c r="D266" s="4">
        <f t="shared" si="16"/>
        <v>54.5</v>
      </c>
      <c r="E266" s="4">
        <f t="shared" si="17"/>
        <v>54.5</v>
      </c>
      <c r="F266" s="4">
        <f t="shared" si="18"/>
        <v>2970.25</v>
      </c>
      <c r="G266" s="5">
        <f t="shared" si="19"/>
        <v>0.99090909090909096</v>
      </c>
    </row>
    <row r="267" spans="1:7" ht="15.75" customHeight="1">
      <c r="A267" s="3">
        <v>21816</v>
      </c>
      <c r="B267" s="4">
        <v>73</v>
      </c>
      <c r="C267" s="4">
        <v>0.5</v>
      </c>
      <c r="D267" s="4">
        <f t="shared" si="16"/>
        <v>72.5</v>
      </c>
      <c r="E267" s="4">
        <f t="shared" si="17"/>
        <v>72.5</v>
      </c>
      <c r="F267" s="4">
        <f t="shared" si="18"/>
        <v>5256.25</v>
      </c>
      <c r="G267" s="5">
        <f t="shared" si="19"/>
        <v>0.99315068493150682</v>
      </c>
    </row>
    <row r="268" spans="1:7" ht="15.75" customHeight="1">
      <c r="A268" s="3">
        <v>21817</v>
      </c>
      <c r="B268" s="4">
        <v>55</v>
      </c>
      <c r="C268" s="4">
        <v>0.5</v>
      </c>
      <c r="D268" s="4">
        <f t="shared" si="16"/>
        <v>54.5</v>
      </c>
      <c r="E268" s="4">
        <f t="shared" si="17"/>
        <v>54.5</v>
      </c>
      <c r="F268" s="4">
        <f t="shared" si="18"/>
        <v>2970.25</v>
      </c>
      <c r="G268" s="5">
        <f t="shared" si="19"/>
        <v>0.99090909090909096</v>
      </c>
    </row>
    <row r="269" spans="1:7" ht="15.75" customHeight="1">
      <c r="A269" s="3">
        <v>21818</v>
      </c>
      <c r="B269" s="4">
        <v>44</v>
      </c>
      <c r="C269" s="4">
        <v>0.5</v>
      </c>
      <c r="D269" s="4">
        <f t="shared" si="16"/>
        <v>43.5</v>
      </c>
      <c r="E269" s="4">
        <f t="shared" si="17"/>
        <v>43.5</v>
      </c>
      <c r="F269" s="4">
        <f t="shared" si="18"/>
        <v>1892.25</v>
      </c>
      <c r="G269" s="5">
        <f t="shared" si="19"/>
        <v>0.98863636363636365</v>
      </c>
    </row>
    <row r="270" spans="1:7" ht="15.75" customHeight="1">
      <c r="A270" s="3">
        <v>21819</v>
      </c>
      <c r="B270" s="4">
        <v>43</v>
      </c>
      <c r="C270" s="4">
        <v>0.5</v>
      </c>
      <c r="D270" s="4">
        <f t="shared" si="16"/>
        <v>42.5</v>
      </c>
      <c r="E270" s="4">
        <f t="shared" si="17"/>
        <v>42.5</v>
      </c>
      <c r="F270" s="4">
        <f t="shared" si="18"/>
        <v>1806.25</v>
      </c>
      <c r="G270" s="5">
        <f t="shared" si="19"/>
        <v>0.98837209302325579</v>
      </c>
    </row>
    <row r="271" spans="1:7" ht="15.75" customHeight="1">
      <c r="A271" s="3">
        <v>21820</v>
      </c>
      <c r="B271" s="4">
        <v>40</v>
      </c>
      <c r="C271" s="4">
        <v>0.5</v>
      </c>
      <c r="D271" s="4">
        <f t="shared" si="16"/>
        <v>39.5</v>
      </c>
      <c r="E271" s="4">
        <f t="shared" si="17"/>
        <v>39.5</v>
      </c>
      <c r="F271" s="4">
        <f t="shared" si="18"/>
        <v>1560.25</v>
      </c>
      <c r="G271" s="5">
        <f t="shared" si="19"/>
        <v>0.98750000000000004</v>
      </c>
    </row>
    <row r="272" spans="1:7" ht="15.75" customHeight="1">
      <c r="A272" s="3">
        <v>21821</v>
      </c>
      <c r="B272" s="4">
        <v>47</v>
      </c>
      <c r="C272" s="4">
        <v>0.5</v>
      </c>
      <c r="D272" s="4">
        <f t="shared" si="16"/>
        <v>46.5</v>
      </c>
      <c r="E272" s="4">
        <f t="shared" si="17"/>
        <v>46.5</v>
      </c>
      <c r="F272" s="4">
        <f t="shared" si="18"/>
        <v>2162.25</v>
      </c>
      <c r="G272" s="5">
        <f t="shared" si="19"/>
        <v>0.98936170212765961</v>
      </c>
    </row>
    <row r="273" spans="1:7" ht="15.75" customHeight="1">
      <c r="A273" s="3">
        <v>21822</v>
      </c>
      <c r="B273" s="4">
        <v>51</v>
      </c>
      <c r="C273" s="4">
        <v>0.5</v>
      </c>
      <c r="D273" s="4">
        <f t="shared" si="16"/>
        <v>50.5</v>
      </c>
      <c r="E273" s="4">
        <f t="shared" si="17"/>
        <v>50.5</v>
      </c>
      <c r="F273" s="4">
        <f t="shared" si="18"/>
        <v>2550.25</v>
      </c>
      <c r="G273" s="5">
        <f t="shared" si="19"/>
        <v>0.99019607843137258</v>
      </c>
    </row>
    <row r="274" spans="1:7" ht="15.75" customHeight="1">
      <c r="A274" s="3">
        <v>21823</v>
      </c>
      <c r="B274" s="4">
        <v>56</v>
      </c>
      <c r="C274" s="4">
        <v>0.5</v>
      </c>
      <c r="D274" s="4">
        <f t="shared" si="16"/>
        <v>55.5</v>
      </c>
      <c r="E274" s="4">
        <f t="shared" si="17"/>
        <v>55.5</v>
      </c>
      <c r="F274" s="4">
        <f t="shared" si="18"/>
        <v>3080.25</v>
      </c>
      <c r="G274" s="5">
        <f t="shared" si="19"/>
        <v>0.9910714285714286</v>
      </c>
    </row>
    <row r="275" spans="1:7" ht="15.75" customHeight="1">
      <c r="A275" s="3">
        <v>21824</v>
      </c>
      <c r="B275" s="4">
        <v>49</v>
      </c>
      <c r="C275" s="4">
        <v>0.5</v>
      </c>
      <c r="D275" s="4">
        <f t="shared" si="16"/>
        <v>48.5</v>
      </c>
      <c r="E275" s="4">
        <f t="shared" si="17"/>
        <v>48.5</v>
      </c>
      <c r="F275" s="4">
        <f t="shared" si="18"/>
        <v>2352.25</v>
      </c>
      <c r="G275" s="5">
        <f t="shared" si="19"/>
        <v>0.98979591836734693</v>
      </c>
    </row>
    <row r="276" spans="1:7" ht="15.75" customHeight="1">
      <c r="A276" s="3">
        <v>21825</v>
      </c>
      <c r="B276" s="4">
        <v>54</v>
      </c>
      <c r="C276" s="4">
        <v>0.5</v>
      </c>
      <c r="D276" s="4">
        <f t="shared" si="16"/>
        <v>53.5</v>
      </c>
      <c r="E276" s="4">
        <f t="shared" si="17"/>
        <v>53.5</v>
      </c>
      <c r="F276" s="4">
        <f t="shared" si="18"/>
        <v>2862.25</v>
      </c>
      <c r="G276" s="5">
        <f t="shared" si="19"/>
        <v>0.9907407407407407</v>
      </c>
    </row>
    <row r="277" spans="1:7" ht="15.75" customHeight="1">
      <c r="A277" s="3">
        <v>21826</v>
      </c>
      <c r="B277" s="4">
        <v>56</v>
      </c>
      <c r="C277" s="4">
        <v>0.5</v>
      </c>
      <c r="D277" s="4">
        <f t="shared" si="16"/>
        <v>55.5</v>
      </c>
      <c r="E277" s="4">
        <f t="shared" si="17"/>
        <v>55.5</v>
      </c>
      <c r="F277" s="4">
        <f t="shared" si="18"/>
        <v>3080.25</v>
      </c>
      <c r="G277" s="5">
        <f t="shared" si="19"/>
        <v>0.9910714285714286</v>
      </c>
    </row>
    <row r="278" spans="1:7" ht="15.75" customHeight="1">
      <c r="A278" s="3">
        <v>21827</v>
      </c>
      <c r="B278" s="4">
        <v>47</v>
      </c>
      <c r="C278" s="4">
        <v>0.5</v>
      </c>
      <c r="D278" s="4">
        <f t="shared" si="16"/>
        <v>46.5</v>
      </c>
      <c r="E278" s="4">
        <f t="shared" si="17"/>
        <v>46.5</v>
      </c>
      <c r="F278" s="4">
        <f t="shared" si="18"/>
        <v>2162.25</v>
      </c>
      <c r="G278" s="5">
        <f t="shared" si="19"/>
        <v>0.98936170212765961</v>
      </c>
    </row>
    <row r="279" spans="1:7" ht="15.75" customHeight="1">
      <c r="A279" s="3">
        <v>21828</v>
      </c>
      <c r="B279" s="4">
        <v>44</v>
      </c>
      <c r="C279" s="4">
        <v>0.5</v>
      </c>
      <c r="D279" s="4">
        <f t="shared" si="16"/>
        <v>43.5</v>
      </c>
      <c r="E279" s="4">
        <f t="shared" si="17"/>
        <v>43.5</v>
      </c>
      <c r="F279" s="4">
        <f t="shared" si="18"/>
        <v>1892.25</v>
      </c>
      <c r="G279" s="5">
        <f t="shared" si="19"/>
        <v>0.98863636363636365</v>
      </c>
    </row>
    <row r="280" spans="1:7" ht="15.75" customHeight="1">
      <c r="A280" s="3">
        <v>21829</v>
      </c>
      <c r="B280" s="4">
        <v>43</v>
      </c>
      <c r="C280" s="4">
        <v>0.5</v>
      </c>
      <c r="D280" s="4">
        <f t="shared" si="16"/>
        <v>42.5</v>
      </c>
      <c r="E280" s="4">
        <f t="shared" si="17"/>
        <v>42.5</v>
      </c>
      <c r="F280" s="4">
        <f t="shared" si="18"/>
        <v>1806.25</v>
      </c>
      <c r="G280" s="5">
        <f t="shared" si="19"/>
        <v>0.98837209302325579</v>
      </c>
    </row>
    <row r="281" spans="1:7" ht="15.75" customHeight="1">
      <c r="A281" s="3">
        <v>21830</v>
      </c>
      <c r="B281" s="4">
        <v>42</v>
      </c>
      <c r="C281" s="4">
        <v>0.5</v>
      </c>
      <c r="D281" s="4">
        <f t="shared" si="16"/>
        <v>41.5</v>
      </c>
      <c r="E281" s="4">
        <f t="shared" si="17"/>
        <v>41.5</v>
      </c>
      <c r="F281" s="4">
        <f t="shared" si="18"/>
        <v>1722.25</v>
      </c>
      <c r="G281" s="5">
        <f t="shared" si="19"/>
        <v>0.98809523809523814</v>
      </c>
    </row>
    <row r="282" spans="1:7" ht="15.75" customHeight="1">
      <c r="A282" s="3">
        <v>21831</v>
      </c>
      <c r="B282" s="4">
        <v>45</v>
      </c>
      <c r="C282" s="4">
        <v>0.5</v>
      </c>
      <c r="D282" s="4">
        <f t="shared" si="16"/>
        <v>44.5</v>
      </c>
      <c r="E282" s="4">
        <f t="shared" si="17"/>
        <v>44.5</v>
      </c>
      <c r="F282" s="4">
        <f t="shared" si="18"/>
        <v>1980.25</v>
      </c>
      <c r="G282" s="5">
        <f t="shared" si="19"/>
        <v>0.98888888888888893</v>
      </c>
    </row>
    <row r="283" spans="1:7" ht="15.75" customHeight="1">
      <c r="A283" s="3">
        <v>21832</v>
      </c>
      <c r="B283" s="4">
        <v>50</v>
      </c>
      <c r="C283" s="4">
        <v>0.5</v>
      </c>
      <c r="D283" s="4">
        <f t="shared" si="16"/>
        <v>49.5</v>
      </c>
      <c r="E283" s="4">
        <f t="shared" si="17"/>
        <v>49.5</v>
      </c>
      <c r="F283" s="4">
        <f t="shared" si="18"/>
        <v>2450.25</v>
      </c>
      <c r="G283" s="5">
        <f t="shared" si="19"/>
        <v>0.99</v>
      </c>
    </row>
    <row r="284" spans="1:7" ht="15.75" customHeight="1">
      <c r="A284" s="3">
        <v>21833</v>
      </c>
      <c r="B284" s="4">
        <v>48</v>
      </c>
      <c r="C284" s="4">
        <v>0.5</v>
      </c>
      <c r="D284" s="4">
        <f t="shared" si="16"/>
        <v>47.5</v>
      </c>
      <c r="E284" s="4">
        <f t="shared" si="17"/>
        <v>47.5</v>
      </c>
      <c r="F284" s="4">
        <f t="shared" si="18"/>
        <v>2256.25</v>
      </c>
      <c r="G284" s="5">
        <f t="shared" si="19"/>
        <v>0.98958333333333337</v>
      </c>
    </row>
    <row r="285" spans="1:7" ht="15.75" customHeight="1">
      <c r="A285" s="3">
        <v>21834</v>
      </c>
      <c r="B285" s="4">
        <v>43</v>
      </c>
      <c r="C285" s="4">
        <v>0.5</v>
      </c>
      <c r="D285" s="4">
        <f t="shared" si="16"/>
        <v>42.5</v>
      </c>
      <c r="E285" s="4">
        <f t="shared" si="17"/>
        <v>42.5</v>
      </c>
      <c r="F285" s="4">
        <f t="shared" si="18"/>
        <v>1806.25</v>
      </c>
      <c r="G285" s="5">
        <f t="shared" si="19"/>
        <v>0.98837209302325579</v>
      </c>
    </row>
    <row r="286" spans="1:7" ht="15.75" customHeight="1">
      <c r="A286" s="3">
        <v>21835</v>
      </c>
      <c r="B286" s="4">
        <v>40</v>
      </c>
      <c r="C286" s="4">
        <v>0.5</v>
      </c>
      <c r="D286" s="4">
        <f t="shared" si="16"/>
        <v>39.5</v>
      </c>
      <c r="E286" s="4">
        <f t="shared" si="17"/>
        <v>39.5</v>
      </c>
      <c r="F286" s="4">
        <f t="shared" si="18"/>
        <v>1560.25</v>
      </c>
      <c r="G286" s="5">
        <f t="shared" si="19"/>
        <v>0.98750000000000004</v>
      </c>
    </row>
    <row r="287" spans="1:7" ht="15.75" customHeight="1">
      <c r="A287" s="3">
        <v>21836</v>
      </c>
      <c r="B287" s="4">
        <v>59</v>
      </c>
      <c r="C287" s="4">
        <v>0.5</v>
      </c>
      <c r="D287" s="4">
        <f t="shared" si="16"/>
        <v>58.5</v>
      </c>
      <c r="E287" s="4">
        <f t="shared" si="17"/>
        <v>58.5</v>
      </c>
      <c r="F287" s="4">
        <f t="shared" si="18"/>
        <v>3422.25</v>
      </c>
      <c r="G287" s="5">
        <f t="shared" si="19"/>
        <v>0.99152542372881358</v>
      </c>
    </row>
    <row r="288" spans="1:7" ht="15.75" customHeight="1">
      <c r="A288" s="3">
        <v>21837</v>
      </c>
      <c r="B288" s="4">
        <v>41</v>
      </c>
      <c r="C288" s="4">
        <v>0.5</v>
      </c>
      <c r="D288" s="4">
        <f t="shared" si="16"/>
        <v>40.5</v>
      </c>
      <c r="E288" s="4">
        <f t="shared" si="17"/>
        <v>40.5</v>
      </c>
      <c r="F288" s="4">
        <f t="shared" si="18"/>
        <v>1640.25</v>
      </c>
      <c r="G288" s="5">
        <f t="shared" si="19"/>
        <v>0.98780487804878048</v>
      </c>
    </row>
    <row r="289" spans="1:7" ht="15.75" customHeight="1">
      <c r="A289" s="3">
        <v>21838</v>
      </c>
      <c r="B289" s="4">
        <v>42</v>
      </c>
      <c r="C289" s="4">
        <v>0.5</v>
      </c>
      <c r="D289" s="4">
        <f t="shared" si="16"/>
        <v>41.5</v>
      </c>
      <c r="E289" s="4">
        <f t="shared" si="17"/>
        <v>41.5</v>
      </c>
      <c r="F289" s="4">
        <f t="shared" si="18"/>
        <v>1722.25</v>
      </c>
      <c r="G289" s="5">
        <f t="shared" si="19"/>
        <v>0.98809523809523814</v>
      </c>
    </row>
    <row r="290" spans="1:7" ht="15.75" customHeight="1">
      <c r="A290" s="3">
        <v>21839</v>
      </c>
      <c r="B290" s="4">
        <v>51</v>
      </c>
      <c r="C290" s="4">
        <v>0.5</v>
      </c>
      <c r="D290" s="4">
        <f t="shared" si="16"/>
        <v>50.5</v>
      </c>
      <c r="E290" s="4">
        <f t="shared" si="17"/>
        <v>50.5</v>
      </c>
      <c r="F290" s="4">
        <f t="shared" si="18"/>
        <v>2550.25</v>
      </c>
      <c r="G290" s="5">
        <f t="shared" si="19"/>
        <v>0.99019607843137258</v>
      </c>
    </row>
    <row r="291" spans="1:7" ht="15.75" customHeight="1">
      <c r="A291" s="3">
        <v>21840</v>
      </c>
      <c r="B291" s="4">
        <v>49</v>
      </c>
      <c r="C291" s="4">
        <v>0.5</v>
      </c>
      <c r="D291" s="4">
        <f t="shared" si="16"/>
        <v>48.5</v>
      </c>
      <c r="E291" s="4">
        <f t="shared" si="17"/>
        <v>48.5</v>
      </c>
      <c r="F291" s="4">
        <f t="shared" si="18"/>
        <v>2352.25</v>
      </c>
      <c r="G291" s="5">
        <f t="shared" si="19"/>
        <v>0.98979591836734693</v>
      </c>
    </row>
    <row r="292" spans="1:7" ht="15.75" customHeight="1">
      <c r="A292" s="3">
        <v>21841</v>
      </c>
      <c r="B292" s="4">
        <v>45</v>
      </c>
      <c r="C292" s="4">
        <v>0.5</v>
      </c>
      <c r="D292" s="4">
        <f t="shared" si="16"/>
        <v>44.5</v>
      </c>
      <c r="E292" s="4">
        <f t="shared" si="17"/>
        <v>44.5</v>
      </c>
      <c r="F292" s="4">
        <f t="shared" si="18"/>
        <v>1980.25</v>
      </c>
      <c r="G292" s="5">
        <f t="shared" si="19"/>
        <v>0.98888888888888893</v>
      </c>
    </row>
    <row r="293" spans="1:7" ht="15.75" customHeight="1">
      <c r="A293" s="3">
        <v>21842</v>
      </c>
      <c r="B293" s="4">
        <v>43</v>
      </c>
      <c r="C293" s="4">
        <v>0.5</v>
      </c>
      <c r="D293" s="4">
        <f t="shared" si="16"/>
        <v>42.5</v>
      </c>
      <c r="E293" s="4">
        <f t="shared" si="17"/>
        <v>42.5</v>
      </c>
      <c r="F293" s="4">
        <f t="shared" si="18"/>
        <v>1806.25</v>
      </c>
      <c r="G293" s="5">
        <f t="shared" si="19"/>
        <v>0.98837209302325579</v>
      </c>
    </row>
    <row r="294" spans="1:7" ht="15.75" customHeight="1">
      <c r="A294" s="3">
        <v>21843</v>
      </c>
      <c r="B294" s="4">
        <v>42</v>
      </c>
      <c r="C294" s="4">
        <v>0.5</v>
      </c>
      <c r="D294" s="4">
        <f t="shared" si="16"/>
        <v>41.5</v>
      </c>
      <c r="E294" s="4">
        <f t="shared" si="17"/>
        <v>41.5</v>
      </c>
      <c r="F294" s="4">
        <f t="shared" si="18"/>
        <v>1722.25</v>
      </c>
      <c r="G294" s="5">
        <f t="shared" si="19"/>
        <v>0.98809523809523814</v>
      </c>
    </row>
    <row r="295" spans="1:7" ht="15.75" customHeight="1">
      <c r="A295" s="3">
        <v>21844</v>
      </c>
      <c r="B295" s="4">
        <v>38</v>
      </c>
      <c r="C295" s="4">
        <v>0.5</v>
      </c>
      <c r="D295" s="4">
        <f t="shared" si="16"/>
        <v>37.5</v>
      </c>
      <c r="E295" s="4">
        <f t="shared" si="17"/>
        <v>37.5</v>
      </c>
      <c r="F295" s="4">
        <f t="shared" si="18"/>
        <v>1406.25</v>
      </c>
      <c r="G295" s="5">
        <f t="shared" si="19"/>
        <v>0.98684210526315785</v>
      </c>
    </row>
    <row r="296" spans="1:7" ht="15.75" customHeight="1">
      <c r="A296" s="3">
        <v>21845</v>
      </c>
      <c r="B296" s="4">
        <v>47</v>
      </c>
      <c r="C296" s="4">
        <v>0.5</v>
      </c>
      <c r="D296" s="4">
        <f t="shared" si="16"/>
        <v>46.5</v>
      </c>
      <c r="E296" s="4">
        <f t="shared" si="17"/>
        <v>46.5</v>
      </c>
      <c r="F296" s="4">
        <f t="shared" si="18"/>
        <v>2162.25</v>
      </c>
      <c r="G296" s="5">
        <f t="shared" si="19"/>
        <v>0.98936170212765961</v>
      </c>
    </row>
    <row r="297" spans="1:7" ht="15.75" customHeight="1">
      <c r="A297" s="3">
        <v>21846</v>
      </c>
      <c r="B297" s="4">
        <v>38</v>
      </c>
      <c r="C297" s="4">
        <v>0.5</v>
      </c>
      <c r="D297" s="4">
        <f t="shared" si="16"/>
        <v>37.5</v>
      </c>
      <c r="E297" s="4">
        <f t="shared" si="17"/>
        <v>37.5</v>
      </c>
      <c r="F297" s="4">
        <f t="shared" si="18"/>
        <v>1406.25</v>
      </c>
      <c r="G297" s="5">
        <f t="shared" si="19"/>
        <v>0.98684210526315785</v>
      </c>
    </row>
    <row r="298" spans="1:7" ht="15.75" customHeight="1">
      <c r="A298" s="3">
        <v>21847</v>
      </c>
      <c r="B298" s="4">
        <v>36</v>
      </c>
      <c r="C298" s="4">
        <v>0.5</v>
      </c>
      <c r="D298" s="4">
        <f t="shared" si="16"/>
        <v>35.5</v>
      </c>
      <c r="E298" s="4">
        <f t="shared" si="17"/>
        <v>35.5</v>
      </c>
      <c r="F298" s="4">
        <f t="shared" si="18"/>
        <v>1260.25</v>
      </c>
      <c r="G298" s="5">
        <f t="shared" si="19"/>
        <v>0.98611111111111116</v>
      </c>
    </row>
    <row r="299" spans="1:7" ht="15.75" customHeight="1">
      <c r="A299" s="3">
        <v>21848</v>
      </c>
      <c r="B299" s="4">
        <v>42</v>
      </c>
      <c r="C299" s="4">
        <v>0.5</v>
      </c>
      <c r="D299" s="4">
        <f t="shared" si="16"/>
        <v>41.5</v>
      </c>
      <c r="E299" s="4">
        <f t="shared" si="17"/>
        <v>41.5</v>
      </c>
      <c r="F299" s="4">
        <f t="shared" si="18"/>
        <v>1722.25</v>
      </c>
      <c r="G299" s="5">
        <f t="shared" si="19"/>
        <v>0.98809523809523814</v>
      </c>
    </row>
    <row r="300" spans="1:7" ht="15.75" customHeight="1">
      <c r="A300" s="3">
        <v>21849</v>
      </c>
      <c r="B300" s="4">
        <v>35</v>
      </c>
      <c r="C300" s="4">
        <v>0.5</v>
      </c>
      <c r="D300" s="4">
        <f t="shared" si="16"/>
        <v>34.5</v>
      </c>
      <c r="E300" s="4">
        <f t="shared" si="17"/>
        <v>34.5</v>
      </c>
      <c r="F300" s="4">
        <f t="shared" si="18"/>
        <v>1190.25</v>
      </c>
      <c r="G300" s="5">
        <f t="shared" si="19"/>
        <v>0.98571428571428577</v>
      </c>
    </row>
    <row r="301" spans="1:7" ht="15.75" customHeight="1">
      <c r="A301" s="3">
        <v>21850</v>
      </c>
      <c r="B301" s="4">
        <v>28</v>
      </c>
      <c r="C301" s="4">
        <v>0.5</v>
      </c>
      <c r="D301" s="4">
        <f t="shared" si="16"/>
        <v>27.5</v>
      </c>
      <c r="E301" s="4">
        <f t="shared" si="17"/>
        <v>27.5</v>
      </c>
      <c r="F301" s="4">
        <f t="shared" si="18"/>
        <v>756.25</v>
      </c>
      <c r="G301" s="5">
        <f t="shared" si="19"/>
        <v>0.9821428571428571</v>
      </c>
    </row>
    <row r="302" spans="1:7" ht="15.75" customHeight="1">
      <c r="A302" s="3">
        <v>21851</v>
      </c>
      <c r="B302" s="4">
        <v>44</v>
      </c>
      <c r="C302" s="4">
        <v>0.5</v>
      </c>
      <c r="D302" s="4">
        <f t="shared" si="16"/>
        <v>43.5</v>
      </c>
      <c r="E302" s="4">
        <f t="shared" si="17"/>
        <v>43.5</v>
      </c>
      <c r="F302" s="4">
        <f t="shared" si="18"/>
        <v>1892.25</v>
      </c>
      <c r="G302" s="5">
        <f t="shared" si="19"/>
        <v>0.98863636363636365</v>
      </c>
    </row>
    <row r="303" spans="1:7" ht="15.75" customHeight="1">
      <c r="A303" s="3">
        <v>21852</v>
      </c>
      <c r="B303" s="4">
        <v>36</v>
      </c>
      <c r="C303" s="4">
        <v>0.5</v>
      </c>
      <c r="D303" s="4">
        <f t="shared" si="16"/>
        <v>35.5</v>
      </c>
      <c r="E303" s="4">
        <f t="shared" si="17"/>
        <v>35.5</v>
      </c>
      <c r="F303" s="4">
        <f t="shared" si="18"/>
        <v>1260.25</v>
      </c>
      <c r="G303" s="5">
        <f t="shared" si="19"/>
        <v>0.98611111111111116</v>
      </c>
    </row>
    <row r="304" spans="1:7" ht="15.75" customHeight="1">
      <c r="A304" s="3">
        <v>21853</v>
      </c>
      <c r="B304" s="4">
        <v>45</v>
      </c>
      <c r="C304" s="4">
        <v>0.5</v>
      </c>
      <c r="D304" s="4">
        <f t="shared" si="16"/>
        <v>44.5</v>
      </c>
      <c r="E304" s="4">
        <f t="shared" si="17"/>
        <v>44.5</v>
      </c>
      <c r="F304" s="4">
        <f t="shared" si="18"/>
        <v>1980.25</v>
      </c>
      <c r="G304" s="5">
        <f t="shared" si="19"/>
        <v>0.98888888888888893</v>
      </c>
    </row>
    <row r="305" spans="1:7" ht="15.75" customHeight="1">
      <c r="A305" s="3">
        <v>21854</v>
      </c>
      <c r="B305" s="4">
        <v>46</v>
      </c>
      <c r="C305" s="4">
        <v>0.5</v>
      </c>
      <c r="D305" s="4">
        <f t="shared" si="16"/>
        <v>45.5</v>
      </c>
      <c r="E305" s="4">
        <f t="shared" si="17"/>
        <v>45.5</v>
      </c>
      <c r="F305" s="4">
        <f t="shared" si="18"/>
        <v>2070.25</v>
      </c>
      <c r="G305" s="5">
        <f t="shared" si="19"/>
        <v>0.98913043478260865</v>
      </c>
    </row>
    <row r="306" spans="1:7" ht="15.75" customHeight="1">
      <c r="A306" s="3">
        <v>21855</v>
      </c>
      <c r="B306" s="4">
        <v>48</v>
      </c>
      <c r="C306" s="4">
        <v>0.5</v>
      </c>
      <c r="D306" s="4">
        <f t="shared" si="16"/>
        <v>47.5</v>
      </c>
      <c r="E306" s="4">
        <f t="shared" si="17"/>
        <v>47.5</v>
      </c>
      <c r="F306" s="4">
        <f t="shared" si="18"/>
        <v>2256.25</v>
      </c>
      <c r="G306" s="5">
        <f t="shared" si="19"/>
        <v>0.98958333333333337</v>
      </c>
    </row>
    <row r="307" spans="1:7" ht="15.75" customHeight="1">
      <c r="A307" s="3">
        <v>21856</v>
      </c>
      <c r="B307" s="4">
        <v>49</v>
      </c>
      <c r="C307" s="4">
        <v>0.5</v>
      </c>
      <c r="D307" s="4">
        <f t="shared" si="16"/>
        <v>48.5</v>
      </c>
      <c r="E307" s="4">
        <f t="shared" si="17"/>
        <v>48.5</v>
      </c>
      <c r="F307" s="4">
        <f t="shared" si="18"/>
        <v>2352.25</v>
      </c>
      <c r="G307" s="5">
        <f t="shared" si="19"/>
        <v>0.98979591836734693</v>
      </c>
    </row>
    <row r="308" spans="1:7" ht="15.75" customHeight="1">
      <c r="A308" s="3">
        <v>21857</v>
      </c>
      <c r="B308" s="4">
        <v>43</v>
      </c>
      <c r="C308" s="4">
        <v>0.5</v>
      </c>
      <c r="D308" s="4">
        <f t="shared" si="16"/>
        <v>42.5</v>
      </c>
      <c r="E308" s="4">
        <f t="shared" si="17"/>
        <v>42.5</v>
      </c>
      <c r="F308" s="4">
        <f t="shared" si="18"/>
        <v>1806.25</v>
      </c>
      <c r="G308" s="5">
        <f t="shared" si="19"/>
        <v>0.98837209302325579</v>
      </c>
    </row>
    <row r="309" spans="1:7" ht="15.75" customHeight="1">
      <c r="A309" s="3">
        <v>21858</v>
      </c>
      <c r="B309" s="4">
        <v>42</v>
      </c>
      <c r="C309" s="4">
        <v>0.5</v>
      </c>
      <c r="D309" s="4">
        <f t="shared" si="16"/>
        <v>41.5</v>
      </c>
      <c r="E309" s="4">
        <f t="shared" si="17"/>
        <v>41.5</v>
      </c>
      <c r="F309" s="4">
        <f t="shared" si="18"/>
        <v>1722.25</v>
      </c>
      <c r="G309" s="5">
        <f t="shared" si="19"/>
        <v>0.98809523809523814</v>
      </c>
    </row>
    <row r="310" spans="1:7" ht="15.75" customHeight="1">
      <c r="A310" s="3">
        <v>21859</v>
      </c>
      <c r="B310" s="4">
        <v>59</v>
      </c>
      <c r="C310" s="4">
        <v>0.5</v>
      </c>
      <c r="D310" s="4">
        <f t="shared" si="16"/>
        <v>58.5</v>
      </c>
      <c r="E310" s="4">
        <f t="shared" si="17"/>
        <v>58.5</v>
      </c>
      <c r="F310" s="4">
        <f t="shared" si="18"/>
        <v>3422.25</v>
      </c>
      <c r="G310" s="5">
        <f t="shared" si="19"/>
        <v>0.99152542372881358</v>
      </c>
    </row>
    <row r="311" spans="1:7" ht="15.75" customHeight="1">
      <c r="A311" s="3">
        <v>21860</v>
      </c>
      <c r="B311" s="4">
        <v>45</v>
      </c>
      <c r="C311" s="4">
        <v>0.5</v>
      </c>
      <c r="D311" s="4">
        <f t="shared" si="16"/>
        <v>44.5</v>
      </c>
      <c r="E311" s="4">
        <f t="shared" si="17"/>
        <v>44.5</v>
      </c>
      <c r="F311" s="4">
        <f t="shared" si="18"/>
        <v>1980.25</v>
      </c>
      <c r="G311" s="5">
        <f t="shared" si="19"/>
        <v>0.98888888888888893</v>
      </c>
    </row>
    <row r="312" spans="1:7" ht="15.75" customHeight="1">
      <c r="A312" s="3">
        <v>21861</v>
      </c>
      <c r="B312" s="4">
        <v>52</v>
      </c>
      <c r="C312" s="4">
        <v>0.5</v>
      </c>
      <c r="D312" s="4">
        <f t="shared" si="16"/>
        <v>51.5</v>
      </c>
      <c r="E312" s="4">
        <f t="shared" si="17"/>
        <v>51.5</v>
      </c>
      <c r="F312" s="4">
        <f t="shared" si="18"/>
        <v>2652.25</v>
      </c>
      <c r="G312" s="5">
        <f t="shared" si="19"/>
        <v>0.99038461538461542</v>
      </c>
    </row>
    <row r="313" spans="1:7" ht="15.75" customHeight="1">
      <c r="A313" s="3">
        <v>21862</v>
      </c>
      <c r="B313" s="4">
        <v>46</v>
      </c>
      <c r="C313" s="4">
        <v>0.5</v>
      </c>
      <c r="D313" s="4">
        <f t="shared" si="16"/>
        <v>45.5</v>
      </c>
      <c r="E313" s="4">
        <f t="shared" si="17"/>
        <v>45.5</v>
      </c>
      <c r="F313" s="4">
        <f t="shared" si="18"/>
        <v>2070.25</v>
      </c>
      <c r="G313" s="5">
        <f t="shared" si="19"/>
        <v>0.98913043478260865</v>
      </c>
    </row>
    <row r="314" spans="1:7" ht="15.75" customHeight="1">
      <c r="A314" s="3">
        <v>21863</v>
      </c>
      <c r="B314" s="4">
        <v>42</v>
      </c>
      <c r="C314" s="4">
        <v>0.5</v>
      </c>
      <c r="D314" s="4">
        <f t="shared" si="16"/>
        <v>41.5</v>
      </c>
      <c r="E314" s="4">
        <f t="shared" si="17"/>
        <v>41.5</v>
      </c>
      <c r="F314" s="4">
        <f t="shared" si="18"/>
        <v>1722.25</v>
      </c>
      <c r="G314" s="5">
        <f t="shared" si="19"/>
        <v>0.98809523809523814</v>
      </c>
    </row>
    <row r="315" spans="1:7" ht="15.75" customHeight="1">
      <c r="A315" s="3">
        <v>21864</v>
      </c>
      <c r="B315" s="4">
        <v>40</v>
      </c>
      <c r="C315" s="4">
        <v>0.5</v>
      </c>
      <c r="D315" s="4">
        <f t="shared" si="16"/>
        <v>39.5</v>
      </c>
      <c r="E315" s="4">
        <f t="shared" si="17"/>
        <v>39.5</v>
      </c>
      <c r="F315" s="4">
        <f t="shared" si="18"/>
        <v>1560.25</v>
      </c>
      <c r="G315" s="5">
        <f t="shared" si="19"/>
        <v>0.98750000000000004</v>
      </c>
    </row>
    <row r="316" spans="1:7" ht="15.75" customHeight="1">
      <c r="A316" s="3">
        <v>21865</v>
      </c>
      <c r="B316" s="4">
        <v>40</v>
      </c>
      <c r="C316" s="4">
        <v>0.5</v>
      </c>
      <c r="D316" s="4">
        <f t="shared" si="16"/>
        <v>39.5</v>
      </c>
      <c r="E316" s="4">
        <f t="shared" si="17"/>
        <v>39.5</v>
      </c>
      <c r="F316" s="4">
        <f t="shared" si="18"/>
        <v>1560.25</v>
      </c>
      <c r="G316" s="5">
        <f t="shared" si="19"/>
        <v>0.98750000000000004</v>
      </c>
    </row>
    <row r="317" spans="1:7" ht="15.75" customHeight="1">
      <c r="A317" s="3">
        <v>21866</v>
      </c>
      <c r="B317" s="4">
        <v>45</v>
      </c>
      <c r="C317" s="4">
        <v>0.5</v>
      </c>
      <c r="D317" s="4">
        <f t="shared" si="16"/>
        <v>44.5</v>
      </c>
      <c r="E317" s="4">
        <f t="shared" si="17"/>
        <v>44.5</v>
      </c>
      <c r="F317" s="4">
        <f t="shared" si="18"/>
        <v>1980.25</v>
      </c>
      <c r="G317" s="5">
        <f t="shared" si="19"/>
        <v>0.98888888888888893</v>
      </c>
    </row>
    <row r="318" spans="1:7" ht="15.75" customHeight="1">
      <c r="A318" s="3">
        <v>21867</v>
      </c>
      <c r="B318" s="4">
        <v>35</v>
      </c>
      <c r="C318" s="4">
        <v>0.5</v>
      </c>
      <c r="D318" s="4">
        <f t="shared" si="16"/>
        <v>34.5</v>
      </c>
      <c r="E318" s="4">
        <f t="shared" si="17"/>
        <v>34.5</v>
      </c>
      <c r="F318" s="4">
        <f t="shared" si="18"/>
        <v>1190.25</v>
      </c>
      <c r="G318" s="5">
        <f t="shared" si="19"/>
        <v>0.98571428571428577</v>
      </c>
    </row>
    <row r="319" spans="1:7" ht="15.75" customHeight="1">
      <c r="A319" s="3">
        <v>21868</v>
      </c>
      <c r="B319" s="4">
        <v>35</v>
      </c>
      <c r="C319" s="4">
        <v>0.5</v>
      </c>
      <c r="D319" s="4">
        <f t="shared" si="16"/>
        <v>34.5</v>
      </c>
      <c r="E319" s="4">
        <f t="shared" si="17"/>
        <v>34.5</v>
      </c>
      <c r="F319" s="4">
        <f t="shared" si="18"/>
        <v>1190.25</v>
      </c>
      <c r="G319" s="5">
        <f t="shared" si="19"/>
        <v>0.98571428571428577</v>
      </c>
    </row>
    <row r="320" spans="1:7" ht="15.75" customHeight="1">
      <c r="A320" s="3">
        <v>21869</v>
      </c>
      <c r="B320" s="4">
        <v>40</v>
      </c>
      <c r="C320" s="4">
        <v>0.5</v>
      </c>
      <c r="D320" s="4">
        <f t="shared" si="16"/>
        <v>39.5</v>
      </c>
      <c r="E320" s="4">
        <f t="shared" si="17"/>
        <v>39.5</v>
      </c>
      <c r="F320" s="4">
        <f t="shared" si="18"/>
        <v>1560.25</v>
      </c>
      <c r="G320" s="5">
        <f t="shared" si="19"/>
        <v>0.98750000000000004</v>
      </c>
    </row>
    <row r="321" spans="1:7" ht="15.75" customHeight="1">
      <c r="A321" s="3">
        <v>21870</v>
      </c>
      <c r="B321" s="4">
        <v>39</v>
      </c>
      <c r="C321" s="4">
        <v>0.5</v>
      </c>
      <c r="D321" s="4">
        <f t="shared" si="16"/>
        <v>38.5</v>
      </c>
      <c r="E321" s="4">
        <f t="shared" si="17"/>
        <v>38.5</v>
      </c>
      <c r="F321" s="4">
        <f t="shared" si="18"/>
        <v>1482.25</v>
      </c>
      <c r="G321" s="5">
        <f t="shared" si="19"/>
        <v>0.98717948717948723</v>
      </c>
    </row>
    <row r="322" spans="1:7" ht="15.75" customHeight="1">
      <c r="A322" s="3">
        <v>21871</v>
      </c>
      <c r="B322" s="4">
        <v>33</v>
      </c>
      <c r="C322" s="4">
        <v>0.5</v>
      </c>
      <c r="D322" s="4">
        <f t="shared" si="16"/>
        <v>32.5</v>
      </c>
      <c r="E322" s="4">
        <f t="shared" si="17"/>
        <v>32.5</v>
      </c>
      <c r="F322" s="4">
        <f t="shared" si="18"/>
        <v>1056.25</v>
      </c>
      <c r="G322" s="5">
        <f t="shared" si="19"/>
        <v>0.98484848484848486</v>
      </c>
    </row>
    <row r="323" spans="1:7" ht="15.75" customHeight="1">
      <c r="A323" s="3">
        <v>21872</v>
      </c>
      <c r="B323" s="4">
        <v>42</v>
      </c>
      <c r="C323" s="4">
        <v>0.5</v>
      </c>
      <c r="D323" s="4">
        <f t="shared" ref="D323:D366" si="20">B323-C323</f>
        <v>41.5</v>
      </c>
      <c r="E323" s="4">
        <f t="shared" ref="E323:E366" si="21">ABS(D323)</f>
        <v>41.5</v>
      </c>
      <c r="F323" s="4">
        <f t="shared" ref="F323:F366" si="22">E323^2</f>
        <v>1722.25</v>
      </c>
      <c r="G323" s="5">
        <f t="shared" ref="G323:G366" si="23">E323/B323</f>
        <v>0.98809523809523814</v>
      </c>
    </row>
    <row r="324" spans="1:7" ht="15.75" customHeight="1">
      <c r="A324" s="3">
        <v>21873</v>
      </c>
      <c r="B324" s="4">
        <v>47</v>
      </c>
      <c r="C324" s="4">
        <v>0.5</v>
      </c>
      <c r="D324" s="4">
        <f t="shared" si="20"/>
        <v>46.5</v>
      </c>
      <c r="E324" s="4">
        <f t="shared" si="21"/>
        <v>46.5</v>
      </c>
      <c r="F324" s="4">
        <f t="shared" si="22"/>
        <v>2162.25</v>
      </c>
      <c r="G324" s="5">
        <f t="shared" si="23"/>
        <v>0.98936170212765961</v>
      </c>
    </row>
    <row r="325" spans="1:7" ht="15.75" customHeight="1">
      <c r="A325" s="3">
        <v>21874</v>
      </c>
      <c r="B325" s="4">
        <v>51</v>
      </c>
      <c r="C325" s="4">
        <v>0.5</v>
      </c>
      <c r="D325" s="4">
        <f t="shared" si="20"/>
        <v>50.5</v>
      </c>
      <c r="E325" s="4">
        <f t="shared" si="21"/>
        <v>50.5</v>
      </c>
      <c r="F325" s="4">
        <f t="shared" si="22"/>
        <v>2550.25</v>
      </c>
      <c r="G325" s="5">
        <f t="shared" si="23"/>
        <v>0.99019607843137258</v>
      </c>
    </row>
    <row r="326" spans="1:7" ht="15.75" customHeight="1">
      <c r="A326" s="3">
        <v>21875</v>
      </c>
      <c r="B326" s="4">
        <v>44</v>
      </c>
      <c r="C326" s="4">
        <v>0.5</v>
      </c>
      <c r="D326" s="4">
        <f t="shared" si="20"/>
        <v>43.5</v>
      </c>
      <c r="E326" s="4">
        <f t="shared" si="21"/>
        <v>43.5</v>
      </c>
      <c r="F326" s="4">
        <f t="shared" si="22"/>
        <v>1892.25</v>
      </c>
      <c r="G326" s="5">
        <f t="shared" si="23"/>
        <v>0.98863636363636365</v>
      </c>
    </row>
    <row r="327" spans="1:7" ht="15.75" customHeight="1">
      <c r="A327" s="3">
        <v>21876</v>
      </c>
      <c r="B327" s="4">
        <v>40</v>
      </c>
      <c r="C327" s="4">
        <v>0.5</v>
      </c>
      <c r="D327" s="4">
        <f t="shared" si="20"/>
        <v>39.5</v>
      </c>
      <c r="E327" s="4">
        <f t="shared" si="21"/>
        <v>39.5</v>
      </c>
      <c r="F327" s="4">
        <f t="shared" si="22"/>
        <v>1560.25</v>
      </c>
      <c r="G327" s="5">
        <f t="shared" si="23"/>
        <v>0.98750000000000004</v>
      </c>
    </row>
    <row r="328" spans="1:7" ht="15.75" customHeight="1">
      <c r="A328" s="3">
        <v>21877</v>
      </c>
      <c r="B328" s="4">
        <v>57</v>
      </c>
      <c r="C328" s="4">
        <v>0.5</v>
      </c>
      <c r="D328" s="4">
        <f t="shared" si="20"/>
        <v>56.5</v>
      </c>
      <c r="E328" s="4">
        <f t="shared" si="21"/>
        <v>56.5</v>
      </c>
      <c r="F328" s="4">
        <f t="shared" si="22"/>
        <v>3192.25</v>
      </c>
      <c r="G328" s="5">
        <f t="shared" si="23"/>
        <v>0.99122807017543857</v>
      </c>
    </row>
    <row r="329" spans="1:7" ht="15.75" customHeight="1">
      <c r="A329" s="3">
        <v>21878</v>
      </c>
      <c r="B329" s="4">
        <v>49</v>
      </c>
      <c r="C329" s="4">
        <v>0.5</v>
      </c>
      <c r="D329" s="4">
        <f t="shared" si="20"/>
        <v>48.5</v>
      </c>
      <c r="E329" s="4">
        <f t="shared" si="21"/>
        <v>48.5</v>
      </c>
      <c r="F329" s="4">
        <f t="shared" si="22"/>
        <v>2352.25</v>
      </c>
      <c r="G329" s="5">
        <f t="shared" si="23"/>
        <v>0.98979591836734693</v>
      </c>
    </row>
    <row r="330" spans="1:7" ht="15.75" customHeight="1">
      <c r="A330" s="3">
        <v>21879</v>
      </c>
      <c r="B330" s="4">
        <v>45</v>
      </c>
      <c r="C330" s="4">
        <v>0.5</v>
      </c>
      <c r="D330" s="4">
        <f t="shared" si="20"/>
        <v>44.5</v>
      </c>
      <c r="E330" s="4">
        <f t="shared" si="21"/>
        <v>44.5</v>
      </c>
      <c r="F330" s="4">
        <f t="shared" si="22"/>
        <v>1980.25</v>
      </c>
      <c r="G330" s="5">
        <f t="shared" si="23"/>
        <v>0.98888888888888893</v>
      </c>
    </row>
    <row r="331" spans="1:7" ht="15.75" customHeight="1">
      <c r="A331" s="3">
        <v>21880</v>
      </c>
      <c r="B331" s="4">
        <v>49</v>
      </c>
      <c r="C331" s="4">
        <v>0.5</v>
      </c>
      <c r="D331" s="4">
        <f t="shared" si="20"/>
        <v>48.5</v>
      </c>
      <c r="E331" s="4">
        <f t="shared" si="21"/>
        <v>48.5</v>
      </c>
      <c r="F331" s="4">
        <f t="shared" si="22"/>
        <v>2352.25</v>
      </c>
      <c r="G331" s="5">
        <f t="shared" si="23"/>
        <v>0.98979591836734693</v>
      </c>
    </row>
    <row r="332" spans="1:7" ht="15.75" customHeight="1">
      <c r="A332" s="3">
        <v>21881</v>
      </c>
      <c r="B332" s="4">
        <v>51</v>
      </c>
      <c r="C332" s="4">
        <v>0.5</v>
      </c>
      <c r="D332" s="4">
        <f t="shared" si="20"/>
        <v>50.5</v>
      </c>
      <c r="E332" s="4">
        <f t="shared" si="21"/>
        <v>50.5</v>
      </c>
      <c r="F332" s="4">
        <f t="shared" si="22"/>
        <v>2550.25</v>
      </c>
      <c r="G332" s="5">
        <f t="shared" si="23"/>
        <v>0.99019607843137258</v>
      </c>
    </row>
    <row r="333" spans="1:7" ht="15.75" customHeight="1">
      <c r="A333" s="3">
        <v>21882</v>
      </c>
      <c r="B333" s="4">
        <v>46</v>
      </c>
      <c r="C333" s="4">
        <v>0.5</v>
      </c>
      <c r="D333" s="4">
        <f t="shared" si="20"/>
        <v>45.5</v>
      </c>
      <c r="E333" s="4">
        <f t="shared" si="21"/>
        <v>45.5</v>
      </c>
      <c r="F333" s="4">
        <f t="shared" si="22"/>
        <v>2070.25</v>
      </c>
      <c r="G333" s="5">
        <f t="shared" si="23"/>
        <v>0.98913043478260865</v>
      </c>
    </row>
    <row r="334" spans="1:7" ht="15.75" customHeight="1">
      <c r="A334" s="3">
        <v>21883</v>
      </c>
      <c r="B334" s="4">
        <v>44</v>
      </c>
      <c r="C334" s="4">
        <v>0.5</v>
      </c>
      <c r="D334" s="4">
        <f t="shared" si="20"/>
        <v>43.5</v>
      </c>
      <c r="E334" s="4">
        <f t="shared" si="21"/>
        <v>43.5</v>
      </c>
      <c r="F334" s="4">
        <f t="shared" si="22"/>
        <v>1892.25</v>
      </c>
      <c r="G334" s="5">
        <f t="shared" si="23"/>
        <v>0.98863636363636365</v>
      </c>
    </row>
    <row r="335" spans="1:7" ht="15.75" customHeight="1">
      <c r="A335" s="3">
        <v>21884</v>
      </c>
      <c r="B335" s="4">
        <v>52</v>
      </c>
      <c r="C335" s="4">
        <v>0.5</v>
      </c>
      <c r="D335" s="4">
        <f t="shared" si="20"/>
        <v>51.5</v>
      </c>
      <c r="E335" s="4">
        <f t="shared" si="21"/>
        <v>51.5</v>
      </c>
      <c r="F335" s="4">
        <f t="shared" si="22"/>
        <v>2652.25</v>
      </c>
      <c r="G335" s="5">
        <f t="shared" si="23"/>
        <v>0.99038461538461542</v>
      </c>
    </row>
    <row r="336" spans="1:7" ht="15.75" customHeight="1">
      <c r="A336" s="3">
        <v>21885</v>
      </c>
      <c r="B336" s="4">
        <v>45</v>
      </c>
      <c r="C336" s="4">
        <v>0.5</v>
      </c>
      <c r="D336" s="4">
        <f t="shared" si="20"/>
        <v>44.5</v>
      </c>
      <c r="E336" s="4">
        <f t="shared" si="21"/>
        <v>44.5</v>
      </c>
      <c r="F336" s="4">
        <f t="shared" si="22"/>
        <v>1980.25</v>
      </c>
      <c r="G336" s="5">
        <f t="shared" si="23"/>
        <v>0.98888888888888893</v>
      </c>
    </row>
    <row r="337" spans="1:7" ht="15.75" customHeight="1">
      <c r="A337" s="3">
        <v>21886</v>
      </c>
      <c r="B337" s="4">
        <v>32</v>
      </c>
      <c r="C337" s="4">
        <v>0.5</v>
      </c>
      <c r="D337" s="4">
        <f t="shared" si="20"/>
        <v>31.5</v>
      </c>
      <c r="E337" s="4">
        <f t="shared" si="21"/>
        <v>31.5</v>
      </c>
      <c r="F337" s="4">
        <f t="shared" si="22"/>
        <v>992.25</v>
      </c>
      <c r="G337" s="5">
        <f t="shared" si="23"/>
        <v>0.984375</v>
      </c>
    </row>
    <row r="338" spans="1:7" ht="15.75" customHeight="1">
      <c r="A338" s="3">
        <v>21887</v>
      </c>
      <c r="B338" s="4">
        <v>46</v>
      </c>
      <c r="C338" s="4">
        <v>0.5</v>
      </c>
      <c r="D338" s="4">
        <f t="shared" si="20"/>
        <v>45.5</v>
      </c>
      <c r="E338" s="4">
        <f t="shared" si="21"/>
        <v>45.5</v>
      </c>
      <c r="F338" s="4">
        <f t="shared" si="22"/>
        <v>2070.25</v>
      </c>
      <c r="G338" s="5">
        <f t="shared" si="23"/>
        <v>0.98913043478260865</v>
      </c>
    </row>
    <row r="339" spans="1:7" ht="15.75" customHeight="1">
      <c r="A339" s="3">
        <v>21888</v>
      </c>
      <c r="B339" s="4">
        <v>41</v>
      </c>
      <c r="C339" s="4">
        <v>0.5</v>
      </c>
      <c r="D339" s="4">
        <f t="shared" si="20"/>
        <v>40.5</v>
      </c>
      <c r="E339" s="4">
        <f t="shared" si="21"/>
        <v>40.5</v>
      </c>
      <c r="F339" s="4">
        <f t="shared" si="22"/>
        <v>1640.25</v>
      </c>
      <c r="G339" s="5">
        <f t="shared" si="23"/>
        <v>0.98780487804878048</v>
      </c>
    </row>
    <row r="340" spans="1:7" ht="15.75" customHeight="1">
      <c r="A340" s="3">
        <v>21889</v>
      </c>
      <c r="B340" s="4">
        <v>34</v>
      </c>
      <c r="C340" s="4">
        <v>0.5</v>
      </c>
      <c r="D340" s="4">
        <f t="shared" si="20"/>
        <v>33.5</v>
      </c>
      <c r="E340" s="4">
        <f t="shared" si="21"/>
        <v>33.5</v>
      </c>
      <c r="F340" s="4">
        <f t="shared" si="22"/>
        <v>1122.25</v>
      </c>
      <c r="G340" s="5">
        <f t="shared" si="23"/>
        <v>0.98529411764705888</v>
      </c>
    </row>
    <row r="341" spans="1:7" ht="15.75" customHeight="1">
      <c r="A341" s="3">
        <v>21890</v>
      </c>
      <c r="B341" s="4">
        <v>33</v>
      </c>
      <c r="C341" s="4">
        <v>0.5</v>
      </c>
      <c r="D341" s="4">
        <f t="shared" si="20"/>
        <v>32.5</v>
      </c>
      <c r="E341" s="4">
        <f t="shared" si="21"/>
        <v>32.5</v>
      </c>
      <c r="F341" s="4">
        <f t="shared" si="22"/>
        <v>1056.25</v>
      </c>
      <c r="G341" s="5">
        <f t="shared" si="23"/>
        <v>0.98484848484848486</v>
      </c>
    </row>
    <row r="342" spans="1:7" ht="15.75" customHeight="1">
      <c r="A342" s="3">
        <v>21891</v>
      </c>
      <c r="B342" s="4">
        <v>36</v>
      </c>
      <c r="C342" s="4">
        <v>0.5</v>
      </c>
      <c r="D342" s="4">
        <f t="shared" si="20"/>
        <v>35.5</v>
      </c>
      <c r="E342" s="4">
        <f t="shared" si="21"/>
        <v>35.5</v>
      </c>
      <c r="F342" s="4">
        <f t="shared" si="22"/>
        <v>1260.25</v>
      </c>
      <c r="G342" s="5">
        <f t="shared" si="23"/>
        <v>0.98611111111111116</v>
      </c>
    </row>
    <row r="343" spans="1:7" ht="15.75" customHeight="1">
      <c r="A343" s="3">
        <v>21892</v>
      </c>
      <c r="B343" s="4">
        <v>49</v>
      </c>
      <c r="C343" s="4">
        <v>0.5</v>
      </c>
      <c r="D343" s="4">
        <f t="shared" si="20"/>
        <v>48.5</v>
      </c>
      <c r="E343" s="4">
        <f t="shared" si="21"/>
        <v>48.5</v>
      </c>
      <c r="F343" s="4">
        <f t="shared" si="22"/>
        <v>2352.25</v>
      </c>
      <c r="G343" s="5">
        <f t="shared" si="23"/>
        <v>0.98979591836734693</v>
      </c>
    </row>
    <row r="344" spans="1:7" ht="15.75" customHeight="1">
      <c r="A344" s="3">
        <v>21893</v>
      </c>
      <c r="B344" s="4">
        <v>43</v>
      </c>
      <c r="C344" s="4">
        <v>0.5</v>
      </c>
      <c r="D344" s="4">
        <f t="shared" si="20"/>
        <v>42.5</v>
      </c>
      <c r="E344" s="4">
        <f t="shared" si="21"/>
        <v>42.5</v>
      </c>
      <c r="F344" s="4">
        <f t="shared" si="22"/>
        <v>1806.25</v>
      </c>
      <c r="G344" s="5">
        <f t="shared" si="23"/>
        <v>0.98837209302325579</v>
      </c>
    </row>
    <row r="345" spans="1:7" ht="15.75" customHeight="1">
      <c r="A345" s="3">
        <v>21894</v>
      </c>
      <c r="B345" s="4">
        <v>43</v>
      </c>
      <c r="C345" s="4">
        <v>0.5</v>
      </c>
      <c r="D345" s="4">
        <f t="shared" si="20"/>
        <v>42.5</v>
      </c>
      <c r="E345" s="4">
        <f t="shared" si="21"/>
        <v>42.5</v>
      </c>
      <c r="F345" s="4">
        <f t="shared" si="22"/>
        <v>1806.25</v>
      </c>
      <c r="G345" s="5">
        <f t="shared" si="23"/>
        <v>0.98837209302325579</v>
      </c>
    </row>
    <row r="346" spans="1:7" ht="15.75" customHeight="1">
      <c r="A346" s="3">
        <v>21895</v>
      </c>
      <c r="B346" s="4">
        <v>34</v>
      </c>
      <c r="C346" s="4">
        <v>0.5</v>
      </c>
      <c r="D346" s="4">
        <f t="shared" si="20"/>
        <v>33.5</v>
      </c>
      <c r="E346" s="4">
        <f t="shared" si="21"/>
        <v>33.5</v>
      </c>
      <c r="F346" s="4">
        <f t="shared" si="22"/>
        <v>1122.25</v>
      </c>
      <c r="G346" s="5">
        <f t="shared" si="23"/>
        <v>0.98529411764705888</v>
      </c>
    </row>
    <row r="347" spans="1:7" ht="15.75" customHeight="1">
      <c r="A347" s="3">
        <v>21896</v>
      </c>
      <c r="B347" s="4">
        <v>39</v>
      </c>
      <c r="C347" s="4">
        <v>0.5</v>
      </c>
      <c r="D347" s="4">
        <f t="shared" si="20"/>
        <v>38.5</v>
      </c>
      <c r="E347" s="4">
        <f t="shared" si="21"/>
        <v>38.5</v>
      </c>
      <c r="F347" s="4">
        <f t="shared" si="22"/>
        <v>1482.25</v>
      </c>
      <c r="G347" s="5">
        <f t="shared" si="23"/>
        <v>0.98717948717948723</v>
      </c>
    </row>
    <row r="348" spans="1:7" ht="15.75" customHeight="1">
      <c r="A348" s="3">
        <v>21897</v>
      </c>
      <c r="B348" s="4">
        <v>35</v>
      </c>
      <c r="C348" s="4">
        <v>0.5</v>
      </c>
      <c r="D348" s="4">
        <f t="shared" si="20"/>
        <v>34.5</v>
      </c>
      <c r="E348" s="4">
        <f t="shared" si="21"/>
        <v>34.5</v>
      </c>
      <c r="F348" s="4">
        <f t="shared" si="22"/>
        <v>1190.25</v>
      </c>
      <c r="G348" s="5">
        <f t="shared" si="23"/>
        <v>0.98571428571428577</v>
      </c>
    </row>
    <row r="349" spans="1:7" ht="15.75" customHeight="1">
      <c r="A349" s="3">
        <v>21898</v>
      </c>
      <c r="B349" s="4">
        <v>52</v>
      </c>
      <c r="C349" s="4">
        <v>0.5</v>
      </c>
      <c r="D349" s="4">
        <f t="shared" si="20"/>
        <v>51.5</v>
      </c>
      <c r="E349" s="4">
        <f t="shared" si="21"/>
        <v>51.5</v>
      </c>
      <c r="F349" s="4">
        <f t="shared" si="22"/>
        <v>2652.25</v>
      </c>
      <c r="G349" s="5">
        <f t="shared" si="23"/>
        <v>0.99038461538461542</v>
      </c>
    </row>
    <row r="350" spans="1:7" ht="15.75" customHeight="1">
      <c r="A350" s="3">
        <v>21899</v>
      </c>
      <c r="B350" s="4">
        <v>47</v>
      </c>
      <c r="C350" s="4">
        <v>0.5</v>
      </c>
      <c r="D350" s="4">
        <f t="shared" si="20"/>
        <v>46.5</v>
      </c>
      <c r="E350" s="4">
        <f t="shared" si="21"/>
        <v>46.5</v>
      </c>
      <c r="F350" s="4">
        <f t="shared" si="22"/>
        <v>2162.25</v>
      </c>
      <c r="G350" s="5">
        <f t="shared" si="23"/>
        <v>0.98936170212765961</v>
      </c>
    </row>
    <row r="351" spans="1:7" ht="15.75" customHeight="1">
      <c r="A351" s="3">
        <v>21900</v>
      </c>
      <c r="B351" s="4">
        <v>52</v>
      </c>
      <c r="C351" s="4">
        <v>0.5</v>
      </c>
      <c r="D351" s="4">
        <f t="shared" si="20"/>
        <v>51.5</v>
      </c>
      <c r="E351" s="4">
        <f t="shared" si="21"/>
        <v>51.5</v>
      </c>
      <c r="F351" s="4">
        <f t="shared" si="22"/>
        <v>2652.25</v>
      </c>
      <c r="G351" s="5">
        <f t="shared" si="23"/>
        <v>0.99038461538461542</v>
      </c>
    </row>
    <row r="352" spans="1:7" ht="15.75" customHeight="1">
      <c r="A352" s="3">
        <v>21901</v>
      </c>
      <c r="B352" s="4">
        <v>39</v>
      </c>
      <c r="C352" s="4">
        <v>0.5</v>
      </c>
      <c r="D352" s="4">
        <f t="shared" si="20"/>
        <v>38.5</v>
      </c>
      <c r="E352" s="4">
        <f t="shared" si="21"/>
        <v>38.5</v>
      </c>
      <c r="F352" s="4">
        <f t="shared" si="22"/>
        <v>1482.25</v>
      </c>
      <c r="G352" s="5">
        <f t="shared" si="23"/>
        <v>0.98717948717948723</v>
      </c>
    </row>
    <row r="353" spans="1:7" ht="15.75" customHeight="1">
      <c r="A353" s="3">
        <v>21902</v>
      </c>
      <c r="B353" s="4">
        <v>40</v>
      </c>
      <c r="C353" s="4">
        <v>0.5</v>
      </c>
      <c r="D353" s="4">
        <f t="shared" si="20"/>
        <v>39.5</v>
      </c>
      <c r="E353" s="4">
        <f t="shared" si="21"/>
        <v>39.5</v>
      </c>
      <c r="F353" s="4">
        <f t="shared" si="22"/>
        <v>1560.25</v>
      </c>
      <c r="G353" s="5">
        <f t="shared" si="23"/>
        <v>0.98750000000000004</v>
      </c>
    </row>
    <row r="354" spans="1:7" ht="15.75" customHeight="1">
      <c r="A354" s="3">
        <v>21903</v>
      </c>
      <c r="B354" s="4">
        <v>42</v>
      </c>
      <c r="C354" s="4">
        <v>0.5</v>
      </c>
      <c r="D354" s="4">
        <f t="shared" si="20"/>
        <v>41.5</v>
      </c>
      <c r="E354" s="4">
        <f t="shared" si="21"/>
        <v>41.5</v>
      </c>
      <c r="F354" s="4">
        <f t="shared" si="22"/>
        <v>1722.25</v>
      </c>
      <c r="G354" s="5">
        <f t="shared" si="23"/>
        <v>0.98809523809523814</v>
      </c>
    </row>
    <row r="355" spans="1:7" ht="15.75" customHeight="1">
      <c r="A355" s="3">
        <v>21904</v>
      </c>
      <c r="B355" s="4">
        <v>42</v>
      </c>
      <c r="C355" s="4">
        <v>0.5</v>
      </c>
      <c r="D355" s="4">
        <f t="shared" si="20"/>
        <v>41.5</v>
      </c>
      <c r="E355" s="4">
        <f t="shared" si="21"/>
        <v>41.5</v>
      </c>
      <c r="F355" s="4">
        <f t="shared" si="22"/>
        <v>1722.25</v>
      </c>
      <c r="G355" s="5">
        <f t="shared" si="23"/>
        <v>0.98809523809523814</v>
      </c>
    </row>
    <row r="356" spans="1:7" ht="15.75" customHeight="1">
      <c r="A356" s="3">
        <v>21905</v>
      </c>
      <c r="B356" s="4">
        <v>53</v>
      </c>
      <c r="C356" s="4">
        <v>0.5</v>
      </c>
      <c r="D356" s="4">
        <f t="shared" si="20"/>
        <v>52.5</v>
      </c>
      <c r="E356" s="4">
        <f t="shared" si="21"/>
        <v>52.5</v>
      </c>
      <c r="F356" s="4">
        <f t="shared" si="22"/>
        <v>2756.25</v>
      </c>
      <c r="G356" s="5">
        <f t="shared" si="23"/>
        <v>0.99056603773584906</v>
      </c>
    </row>
    <row r="357" spans="1:7" ht="15.75" customHeight="1">
      <c r="A357" s="3">
        <v>21906</v>
      </c>
      <c r="B357" s="4">
        <v>39</v>
      </c>
      <c r="C357" s="4">
        <v>0.5</v>
      </c>
      <c r="D357" s="4">
        <f t="shared" si="20"/>
        <v>38.5</v>
      </c>
      <c r="E357" s="4">
        <f t="shared" si="21"/>
        <v>38.5</v>
      </c>
      <c r="F357" s="4">
        <f t="shared" si="22"/>
        <v>1482.25</v>
      </c>
      <c r="G357" s="5">
        <f t="shared" si="23"/>
        <v>0.98717948717948723</v>
      </c>
    </row>
    <row r="358" spans="1:7" ht="15.75" customHeight="1">
      <c r="A358" s="3">
        <v>21907</v>
      </c>
      <c r="B358" s="4">
        <v>40</v>
      </c>
      <c r="C358" s="4">
        <v>0.5</v>
      </c>
      <c r="D358" s="4">
        <f t="shared" si="20"/>
        <v>39.5</v>
      </c>
      <c r="E358" s="4">
        <f t="shared" si="21"/>
        <v>39.5</v>
      </c>
      <c r="F358" s="4">
        <f t="shared" si="22"/>
        <v>1560.25</v>
      </c>
      <c r="G358" s="5">
        <f t="shared" si="23"/>
        <v>0.98750000000000004</v>
      </c>
    </row>
    <row r="359" spans="1:7" ht="15.75" customHeight="1">
      <c r="A359" s="3">
        <v>21908</v>
      </c>
      <c r="B359" s="4">
        <v>38</v>
      </c>
      <c r="C359" s="4">
        <v>0.5</v>
      </c>
      <c r="D359" s="4">
        <f t="shared" si="20"/>
        <v>37.5</v>
      </c>
      <c r="E359" s="4">
        <f t="shared" si="21"/>
        <v>37.5</v>
      </c>
      <c r="F359" s="4">
        <f t="shared" si="22"/>
        <v>1406.25</v>
      </c>
      <c r="G359" s="5">
        <f t="shared" si="23"/>
        <v>0.98684210526315785</v>
      </c>
    </row>
    <row r="360" spans="1:7" ht="15.75" customHeight="1">
      <c r="A360" s="3">
        <v>21909</v>
      </c>
      <c r="B360" s="4">
        <v>44</v>
      </c>
      <c r="C360" s="4">
        <v>0.5</v>
      </c>
      <c r="D360" s="4">
        <f t="shared" si="20"/>
        <v>43.5</v>
      </c>
      <c r="E360" s="4">
        <f t="shared" si="21"/>
        <v>43.5</v>
      </c>
      <c r="F360" s="4">
        <f t="shared" si="22"/>
        <v>1892.25</v>
      </c>
      <c r="G360" s="5">
        <f t="shared" si="23"/>
        <v>0.98863636363636365</v>
      </c>
    </row>
    <row r="361" spans="1:7" ht="15.75" customHeight="1">
      <c r="A361" s="3">
        <v>21910</v>
      </c>
      <c r="B361" s="4">
        <v>34</v>
      </c>
      <c r="C361" s="4">
        <v>0.5</v>
      </c>
      <c r="D361" s="4">
        <f t="shared" si="20"/>
        <v>33.5</v>
      </c>
      <c r="E361" s="4">
        <f t="shared" si="21"/>
        <v>33.5</v>
      </c>
      <c r="F361" s="4">
        <f t="shared" si="22"/>
        <v>1122.25</v>
      </c>
      <c r="G361" s="5">
        <f t="shared" si="23"/>
        <v>0.98529411764705888</v>
      </c>
    </row>
    <row r="362" spans="1:7" ht="15.75" customHeight="1">
      <c r="A362" s="3">
        <v>21911</v>
      </c>
      <c r="B362" s="4">
        <v>37</v>
      </c>
      <c r="C362" s="4">
        <v>0.5</v>
      </c>
      <c r="D362" s="4">
        <f t="shared" si="20"/>
        <v>36.5</v>
      </c>
      <c r="E362" s="4">
        <f t="shared" si="21"/>
        <v>36.5</v>
      </c>
      <c r="F362" s="4">
        <f t="shared" si="22"/>
        <v>1332.25</v>
      </c>
      <c r="G362" s="5">
        <f t="shared" si="23"/>
        <v>0.98648648648648651</v>
      </c>
    </row>
    <row r="363" spans="1:7" ht="15.75" customHeight="1">
      <c r="A363" s="3">
        <v>21912</v>
      </c>
      <c r="B363" s="4">
        <v>52</v>
      </c>
      <c r="C363" s="4">
        <v>0.5</v>
      </c>
      <c r="D363" s="4">
        <f t="shared" si="20"/>
        <v>51.5</v>
      </c>
      <c r="E363" s="4">
        <f t="shared" si="21"/>
        <v>51.5</v>
      </c>
      <c r="F363" s="4">
        <f t="shared" si="22"/>
        <v>2652.25</v>
      </c>
      <c r="G363" s="5">
        <f t="shared" si="23"/>
        <v>0.99038461538461542</v>
      </c>
    </row>
    <row r="364" spans="1:7" ht="15.75" customHeight="1">
      <c r="A364" s="3">
        <v>21913</v>
      </c>
      <c r="B364" s="4">
        <v>48</v>
      </c>
      <c r="C364" s="4">
        <v>0.5</v>
      </c>
      <c r="D364" s="4">
        <f t="shared" si="20"/>
        <v>47.5</v>
      </c>
      <c r="E364" s="4">
        <f t="shared" si="21"/>
        <v>47.5</v>
      </c>
      <c r="F364" s="4">
        <f t="shared" si="22"/>
        <v>2256.25</v>
      </c>
      <c r="G364" s="5">
        <f t="shared" si="23"/>
        <v>0.98958333333333337</v>
      </c>
    </row>
    <row r="365" spans="1:7" ht="15.75" customHeight="1">
      <c r="A365" s="3">
        <v>21914</v>
      </c>
      <c r="B365" s="4">
        <v>55</v>
      </c>
      <c r="C365" s="4">
        <v>0.5</v>
      </c>
      <c r="D365" s="4">
        <f t="shared" si="20"/>
        <v>54.5</v>
      </c>
      <c r="E365" s="4">
        <f t="shared" si="21"/>
        <v>54.5</v>
      </c>
      <c r="F365" s="4">
        <f t="shared" si="22"/>
        <v>2970.25</v>
      </c>
      <c r="G365" s="5">
        <f t="shared" si="23"/>
        <v>0.99090909090909096</v>
      </c>
    </row>
    <row r="366" spans="1:7" ht="15.75" customHeight="1">
      <c r="A366" s="3">
        <v>21915</v>
      </c>
      <c r="B366" s="4">
        <v>50</v>
      </c>
      <c r="C366" s="4">
        <v>0.5</v>
      </c>
      <c r="D366" s="4">
        <f t="shared" si="20"/>
        <v>49.5</v>
      </c>
      <c r="E366" s="4">
        <f t="shared" si="21"/>
        <v>49.5</v>
      </c>
      <c r="F366" s="4">
        <f t="shared" si="22"/>
        <v>2450.25</v>
      </c>
      <c r="G366" s="5">
        <f t="shared" si="23"/>
        <v>0.99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G1000" xr:uid="{00000000-0001-0000-0200-000000000000}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zoomScale="55" zoomScaleNormal="55" workbookViewId="0">
      <selection activeCell="B366" sqref="B1:C366"/>
    </sheetView>
  </sheetViews>
  <sheetFormatPr defaultColWidth="11.25" defaultRowHeight="15" customHeight="1"/>
  <cols>
    <col min="1" max="2" width="11" customWidth="1"/>
    <col min="3" max="3" width="11.6875" customWidth="1"/>
    <col min="4" max="4" width="18.3125" customWidth="1"/>
    <col min="5" max="5" width="12.875" customWidth="1"/>
    <col min="6" max="6" width="21.1875" customWidth="1"/>
    <col min="7" max="7" width="26.0625" customWidth="1"/>
    <col min="8" max="8" width="26.1875" customWidth="1"/>
    <col min="9" max="10" width="11" customWidth="1"/>
    <col min="11" max="11" width="20.3125" customWidth="1"/>
    <col min="12" max="26" width="11" customWidth="1"/>
  </cols>
  <sheetData>
    <row r="1" spans="1:11" ht="15.75" customHeight="1">
      <c r="A1" s="2" t="s">
        <v>15</v>
      </c>
      <c r="B1" s="1" t="s">
        <v>0</v>
      </c>
      <c r="C1" s="2" t="s">
        <v>1</v>
      </c>
      <c r="D1" s="13" t="s">
        <v>16</v>
      </c>
      <c r="E1" s="14" t="s">
        <v>14</v>
      </c>
      <c r="F1" s="2" t="s">
        <v>4</v>
      </c>
      <c r="G1" s="2" t="s">
        <v>5</v>
      </c>
      <c r="H1" s="2" t="s">
        <v>6</v>
      </c>
    </row>
    <row r="2" spans="1:11" ht="15.75" customHeight="1">
      <c r="A2" s="4">
        <v>1</v>
      </c>
      <c r="B2" s="3">
        <v>21551</v>
      </c>
      <c r="C2" s="4">
        <v>35</v>
      </c>
      <c r="D2" s="15"/>
      <c r="E2" s="8"/>
      <c r="F2" s="8"/>
      <c r="G2" s="8"/>
      <c r="H2" s="5"/>
    </row>
    <row r="3" spans="1:11" ht="15.75" customHeight="1">
      <c r="A3" s="4">
        <v>2</v>
      </c>
      <c r="B3" s="3">
        <v>21552</v>
      </c>
      <c r="C3" s="4">
        <v>32</v>
      </c>
      <c r="D3" s="15"/>
      <c r="E3" s="8"/>
      <c r="F3" s="8"/>
      <c r="G3" s="8"/>
      <c r="H3" s="5"/>
    </row>
    <row r="4" spans="1:11" ht="15.75" customHeight="1">
      <c r="A4" s="4">
        <v>3</v>
      </c>
      <c r="B4" s="3">
        <v>21553</v>
      </c>
      <c r="C4" s="4">
        <v>30</v>
      </c>
      <c r="D4" s="15"/>
      <c r="E4" s="8"/>
      <c r="F4" s="8"/>
      <c r="G4" s="8"/>
      <c r="H4" s="5"/>
    </row>
    <row r="5" spans="1:11" ht="15.75" customHeight="1">
      <c r="A5" s="4">
        <v>4</v>
      </c>
      <c r="B5" s="3">
        <v>21554</v>
      </c>
      <c r="C5" s="4">
        <v>31</v>
      </c>
      <c r="D5" s="15"/>
      <c r="E5" s="8"/>
      <c r="F5" s="8"/>
      <c r="G5" s="8"/>
      <c r="H5" s="5"/>
    </row>
    <row r="6" spans="1:11" ht="15.75" customHeight="1">
      <c r="A6" s="4">
        <v>5</v>
      </c>
      <c r="B6" s="3">
        <v>21555</v>
      </c>
      <c r="C6" s="4">
        <v>44</v>
      </c>
      <c r="D6" s="15"/>
      <c r="E6" s="8"/>
      <c r="F6" s="8"/>
      <c r="G6" s="8"/>
      <c r="H6" s="5"/>
      <c r="J6" s="6" t="s">
        <v>7</v>
      </c>
      <c r="K6" s="7"/>
    </row>
    <row r="7" spans="1:11" ht="15.75" customHeight="1">
      <c r="A7" s="4">
        <v>6</v>
      </c>
      <c r="B7" s="3">
        <v>21556</v>
      </c>
      <c r="C7" s="4">
        <v>29</v>
      </c>
      <c r="D7" s="15"/>
      <c r="E7" s="8"/>
      <c r="F7" s="8"/>
      <c r="G7" s="8"/>
      <c r="H7" s="5"/>
      <c r="J7" s="2" t="s">
        <v>8</v>
      </c>
      <c r="K7" s="8"/>
    </row>
    <row r="8" spans="1:11" ht="15.75" customHeight="1">
      <c r="A8" s="4">
        <v>7</v>
      </c>
      <c r="B8" s="3">
        <v>21557</v>
      </c>
      <c r="C8" s="4">
        <v>45</v>
      </c>
      <c r="D8" s="15"/>
      <c r="E8" s="8"/>
      <c r="F8" s="8"/>
      <c r="G8" s="8"/>
      <c r="H8" s="5"/>
      <c r="J8" s="2" t="s">
        <v>9</v>
      </c>
      <c r="K8" s="5"/>
    </row>
    <row r="9" spans="1:11" ht="15.75" customHeight="1">
      <c r="A9" s="4">
        <v>8</v>
      </c>
      <c r="B9" s="3">
        <v>21558</v>
      </c>
      <c r="C9" s="4">
        <v>43</v>
      </c>
      <c r="D9" s="15"/>
      <c r="E9" s="8"/>
      <c r="F9" s="8"/>
      <c r="G9" s="8"/>
      <c r="H9" s="5"/>
      <c r="J9" s="16" t="s">
        <v>10</v>
      </c>
      <c r="K9" s="17"/>
    </row>
    <row r="10" spans="1:11" ht="15.75" customHeight="1">
      <c r="A10" s="4">
        <v>9</v>
      </c>
      <c r="B10" s="3">
        <v>21559</v>
      </c>
      <c r="C10" s="4">
        <v>38</v>
      </c>
      <c r="D10" s="15"/>
      <c r="E10" s="8"/>
      <c r="F10" s="8"/>
      <c r="G10" s="8"/>
      <c r="H10" s="5"/>
    </row>
    <row r="11" spans="1:11" ht="15.75" customHeight="1">
      <c r="A11" s="4">
        <v>10</v>
      </c>
      <c r="B11" s="3">
        <v>21560</v>
      </c>
      <c r="C11" s="4">
        <v>27</v>
      </c>
      <c r="D11" s="15"/>
      <c r="E11" s="8"/>
      <c r="F11" s="8"/>
      <c r="G11" s="8"/>
      <c r="H11" s="5"/>
    </row>
    <row r="12" spans="1:11" ht="15.75" customHeight="1">
      <c r="A12" s="4">
        <v>11</v>
      </c>
      <c r="B12" s="3">
        <v>21561</v>
      </c>
      <c r="C12" s="4">
        <v>38</v>
      </c>
      <c r="D12" s="15"/>
      <c r="E12" s="8"/>
      <c r="F12" s="8"/>
      <c r="G12" s="8"/>
      <c r="H12" s="5"/>
    </row>
    <row r="13" spans="1:11" ht="15.75" customHeight="1">
      <c r="A13" s="4">
        <v>12</v>
      </c>
      <c r="B13" s="3">
        <v>21562</v>
      </c>
      <c r="C13" s="4">
        <v>33</v>
      </c>
      <c r="D13" s="15"/>
      <c r="E13" s="8"/>
      <c r="F13" s="8"/>
      <c r="G13" s="8"/>
      <c r="H13" s="5"/>
    </row>
    <row r="14" spans="1:11" ht="15.75" customHeight="1">
      <c r="A14" s="4">
        <v>13</v>
      </c>
      <c r="B14" s="3">
        <v>21563</v>
      </c>
      <c r="C14" s="4">
        <v>55</v>
      </c>
      <c r="D14" s="15"/>
      <c r="E14" s="8"/>
      <c r="F14" s="8"/>
      <c r="G14" s="8"/>
      <c r="H14" s="5"/>
    </row>
    <row r="15" spans="1:11" ht="15.75" customHeight="1">
      <c r="A15" s="4">
        <v>14</v>
      </c>
      <c r="B15" s="3">
        <v>21564</v>
      </c>
      <c r="C15" s="4">
        <v>47</v>
      </c>
      <c r="D15" s="15"/>
      <c r="E15" s="8"/>
      <c r="F15" s="8"/>
      <c r="G15" s="8"/>
      <c r="H15" s="5"/>
    </row>
    <row r="16" spans="1:11" ht="15.75" customHeight="1">
      <c r="A16" s="4">
        <v>15</v>
      </c>
      <c r="B16" s="3">
        <v>21565</v>
      </c>
      <c r="C16" s="4">
        <v>45</v>
      </c>
      <c r="D16" s="15"/>
      <c r="E16" s="8"/>
      <c r="F16" s="8"/>
      <c r="G16" s="8"/>
      <c r="H16" s="5"/>
    </row>
    <row r="17" spans="1:8" ht="15.75" customHeight="1">
      <c r="A17" s="4">
        <v>16</v>
      </c>
      <c r="B17" s="3">
        <v>21566</v>
      </c>
      <c r="C17" s="4">
        <v>37</v>
      </c>
      <c r="D17" s="15"/>
      <c r="E17" s="8"/>
      <c r="F17" s="8"/>
      <c r="G17" s="8"/>
      <c r="H17" s="5"/>
    </row>
    <row r="18" spans="1:8" ht="15.75" customHeight="1">
      <c r="A18" s="4">
        <v>17</v>
      </c>
      <c r="B18" s="3">
        <v>21567</v>
      </c>
      <c r="C18" s="4">
        <v>50</v>
      </c>
      <c r="D18" s="15"/>
      <c r="E18" s="8"/>
      <c r="F18" s="8"/>
      <c r="G18" s="8"/>
      <c r="H18" s="5"/>
    </row>
    <row r="19" spans="1:8" ht="15.75" customHeight="1">
      <c r="A19" s="4">
        <v>18</v>
      </c>
      <c r="B19" s="3">
        <v>21568</v>
      </c>
      <c r="C19" s="4">
        <v>43</v>
      </c>
      <c r="D19" s="15"/>
      <c r="E19" s="8"/>
      <c r="F19" s="8"/>
      <c r="G19" s="8"/>
      <c r="H19" s="5"/>
    </row>
    <row r="20" spans="1:8" ht="15.75" customHeight="1">
      <c r="A20" s="4">
        <v>19</v>
      </c>
      <c r="B20" s="3">
        <v>21569</v>
      </c>
      <c r="C20" s="4">
        <v>41</v>
      </c>
      <c r="D20" s="15"/>
      <c r="E20" s="8"/>
      <c r="F20" s="8"/>
      <c r="G20" s="8"/>
      <c r="H20" s="5"/>
    </row>
    <row r="21" spans="1:8" ht="15.75" customHeight="1">
      <c r="A21" s="4">
        <v>20</v>
      </c>
      <c r="B21" s="3">
        <v>21570</v>
      </c>
      <c r="C21" s="4">
        <v>52</v>
      </c>
      <c r="D21" s="15"/>
      <c r="E21" s="8"/>
      <c r="F21" s="8"/>
      <c r="G21" s="8"/>
      <c r="H21" s="5"/>
    </row>
    <row r="22" spans="1:8" ht="15.75" customHeight="1">
      <c r="A22" s="4">
        <v>21</v>
      </c>
      <c r="B22" s="3">
        <v>21571</v>
      </c>
      <c r="C22" s="4">
        <v>34</v>
      </c>
      <c r="D22" s="15"/>
      <c r="E22" s="8"/>
      <c r="F22" s="8"/>
      <c r="G22" s="8"/>
      <c r="H22" s="5"/>
    </row>
    <row r="23" spans="1:8" ht="15.75" customHeight="1">
      <c r="A23" s="4">
        <v>22</v>
      </c>
      <c r="B23" s="3">
        <v>21572</v>
      </c>
      <c r="C23" s="4">
        <v>53</v>
      </c>
      <c r="D23" s="15"/>
      <c r="E23" s="8"/>
      <c r="F23" s="8"/>
      <c r="G23" s="8"/>
      <c r="H23" s="5"/>
    </row>
    <row r="24" spans="1:8" ht="15.75" customHeight="1">
      <c r="A24" s="4">
        <v>23</v>
      </c>
      <c r="B24" s="3">
        <v>21573</v>
      </c>
      <c r="C24" s="4">
        <v>39</v>
      </c>
      <c r="D24" s="15"/>
      <c r="E24" s="8"/>
      <c r="F24" s="8"/>
      <c r="G24" s="8"/>
      <c r="H24" s="5"/>
    </row>
    <row r="25" spans="1:8" ht="15.75" customHeight="1">
      <c r="A25" s="4">
        <v>24</v>
      </c>
      <c r="B25" s="3">
        <v>21574</v>
      </c>
      <c r="C25" s="4">
        <v>32</v>
      </c>
      <c r="D25" s="15"/>
      <c r="E25" s="8"/>
      <c r="F25" s="8"/>
      <c r="G25" s="8"/>
      <c r="H25" s="5"/>
    </row>
    <row r="26" spans="1:8" ht="15.75" customHeight="1">
      <c r="A26" s="4">
        <v>25</v>
      </c>
      <c r="B26" s="3">
        <v>21575</v>
      </c>
      <c r="C26" s="4">
        <v>37</v>
      </c>
      <c r="D26" s="15"/>
      <c r="E26" s="8"/>
      <c r="F26" s="8"/>
      <c r="G26" s="8"/>
      <c r="H26" s="5"/>
    </row>
    <row r="27" spans="1:8" ht="15.75" customHeight="1">
      <c r="A27" s="4">
        <v>26</v>
      </c>
      <c r="B27" s="3">
        <v>21576</v>
      </c>
      <c r="C27" s="4">
        <v>43</v>
      </c>
      <c r="D27" s="15"/>
      <c r="E27" s="8"/>
      <c r="F27" s="8"/>
      <c r="G27" s="8"/>
      <c r="H27" s="5"/>
    </row>
    <row r="28" spans="1:8" ht="15.75" customHeight="1">
      <c r="A28" s="4">
        <v>27</v>
      </c>
      <c r="B28" s="3">
        <v>21577</v>
      </c>
      <c r="C28" s="4">
        <v>39</v>
      </c>
      <c r="D28" s="15"/>
      <c r="E28" s="8"/>
      <c r="F28" s="8"/>
      <c r="G28" s="8"/>
      <c r="H28" s="5"/>
    </row>
    <row r="29" spans="1:8" ht="15.75" customHeight="1">
      <c r="A29" s="4">
        <v>28</v>
      </c>
      <c r="B29" s="3">
        <v>21578</v>
      </c>
      <c r="C29" s="4">
        <v>35</v>
      </c>
      <c r="D29" s="15"/>
      <c r="E29" s="8"/>
      <c r="F29" s="8"/>
      <c r="G29" s="8"/>
      <c r="H29" s="5"/>
    </row>
    <row r="30" spans="1:8" ht="15.75" customHeight="1">
      <c r="A30" s="4">
        <v>29</v>
      </c>
      <c r="B30" s="3">
        <v>21579</v>
      </c>
      <c r="C30" s="4">
        <v>44</v>
      </c>
      <c r="D30" s="15"/>
      <c r="E30" s="8"/>
      <c r="F30" s="8"/>
      <c r="G30" s="8"/>
      <c r="H30" s="5"/>
    </row>
    <row r="31" spans="1:8" ht="15.75" customHeight="1">
      <c r="A31" s="4">
        <v>30</v>
      </c>
      <c r="B31" s="3">
        <v>21580</v>
      </c>
      <c r="C31" s="4">
        <v>38</v>
      </c>
      <c r="D31" s="15"/>
      <c r="E31" s="8"/>
      <c r="F31" s="8"/>
      <c r="G31" s="8"/>
      <c r="H31" s="5"/>
    </row>
    <row r="32" spans="1:8" ht="15.75" customHeight="1">
      <c r="A32" s="4">
        <v>31</v>
      </c>
      <c r="B32" s="3">
        <v>21581</v>
      </c>
      <c r="C32" s="4">
        <v>24</v>
      </c>
      <c r="D32" s="15"/>
      <c r="E32" s="8"/>
      <c r="F32" s="8"/>
      <c r="G32" s="8"/>
      <c r="H32" s="5"/>
    </row>
    <row r="33" spans="1:8" ht="15.75" customHeight="1">
      <c r="A33" s="4">
        <v>32</v>
      </c>
      <c r="B33" s="3">
        <v>21582</v>
      </c>
      <c r="C33" s="4">
        <v>23</v>
      </c>
      <c r="D33" s="15"/>
      <c r="E33" s="8"/>
      <c r="F33" s="8"/>
      <c r="G33" s="8"/>
      <c r="H33" s="5"/>
    </row>
    <row r="34" spans="1:8" ht="15.75" customHeight="1">
      <c r="A34" s="4">
        <v>33</v>
      </c>
      <c r="B34" s="3">
        <v>21583</v>
      </c>
      <c r="C34" s="4">
        <v>31</v>
      </c>
      <c r="D34" s="15"/>
      <c r="E34" s="8"/>
      <c r="F34" s="8"/>
      <c r="G34" s="8"/>
      <c r="H34" s="5"/>
    </row>
    <row r="35" spans="1:8" ht="15.75" customHeight="1">
      <c r="A35" s="4">
        <v>34</v>
      </c>
      <c r="B35" s="3">
        <v>21584</v>
      </c>
      <c r="C35" s="4">
        <v>44</v>
      </c>
      <c r="D35" s="15"/>
      <c r="E35" s="8"/>
      <c r="F35" s="8"/>
      <c r="G35" s="8"/>
      <c r="H35" s="5"/>
    </row>
    <row r="36" spans="1:8" ht="15.75" customHeight="1">
      <c r="A36" s="4">
        <v>35</v>
      </c>
      <c r="B36" s="3">
        <v>21585</v>
      </c>
      <c r="C36" s="4">
        <v>38</v>
      </c>
      <c r="D36" s="15"/>
      <c r="E36" s="8"/>
      <c r="F36" s="8"/>
      <c r="G36" s="8"/>
      <c r="H36" s="5"/>
    </row>
    <row r="37" spans="1:8" ht="15.75" customHeight="1">
      <c r="A37" s="4">
        <v>36</v>
      </c>
      <c r="B37" s="3">
        <v>21586</v>
      </c>
      <c r="C37" s="4">
        <v>50</v>
      </c>
      <c r="D37" s="15"/>
      <c r="E37" s="8"/>
      <c r="F37" s="8"/>
      <c r="G37" s="8"/>
      <c r="H37" s="5"/>
    </row>
    <row r="38" spans="1:8" ht="15.75" customHeight="1">
      <c r="A38" s="4">
        <v>37</v>
      </c>
      <c r="B38" s="3">
        <v>21587</v>
      </c>
      <c r="C38" s="4">
        <v>38</v>
      </c>
      <c r="D38" s="15"/>
      <c r="E38" s="8"/>
      <c r="F38" s="8"/>
      <c r="G38" s="8"/>
      <c r="H38" s="5"/>
    </row>
    <row r="39" spans="1:8" ht="15.75" customHeight="1">
      <c r="A39" s="4">
        <v>38</v>
      </c>
      <c r="B39" s="3">
        <v>21588</v>
      </c>
      <c r="C39" s="4">
        <v>51</v>
      </c>
      <c r="D39" s="15"/>
      <c r="E39" s="8"/>
      <c r="F39" s="8"/>
      <c r="G39" s="8"/>
      <c r="H39" s="5"/>
    </row>
    <row r="40" spans="1:8" ht="15.75" customHeight="1">
      <c r="A40" s="4">
        <v>39</v>
      </c>
      <c r="B40" s="3">
        <v>21589</v>
      </c>
      <c r="C40" s="4">
        <v>31</v>
      </c>
      <c r="D40" s="15"/>
      <c r="E40" s="8"/>
      <c r="F40" s="8"/>
      <c r="G40" s="8"/>
      <c r="H40" s="5"/>
    </row>
    <row r="41" spans="1:8" ht="15.75" customHeight="1">
      <c r="A41" s="4">
        <v>40</v>
      </c>
      <c r="B41" s="3">
        <v>21590</v>
      </c>
      <c r="C41" s="4">
        <v>31</v>
      </c>
      <c r="D41" s="15"/>
      <c r="E41" s="8"/>
      <c r="F41" s="8"/>
      <c r="G41" s="8"/>
      <c r="H41" s="5"/>
    </row>
    <row r="42" spans="1:8" ht="15.75" customHeight="1">
      <c r="A42" s="4">
        <v>41</v>
      </c>
      <c r="B42" s="3">
        <v>21591</v>
      </c>
      <c r="C42" s="4">
        <v>51</v>
      </c>
      <c r="D42" s="15"/>
      <c r="E42" s="8"/>
      <c r="F42" s="8"/>
      <c r="G42" s="8"/>
      <c r="H42" s="5"/>
    </row>
    <row r="43" spans="1:8" ht="15.75" customHeight="1">
      <c r="A43" s="4">
        <v>42</v>
      </c>
      <c r="B43" s="3">
        <v>21592</v>
      </c>
      <c r="C43" s="4">
        <v>36</v>
      </c>
      <c r="D43" s="15"/>
      <c r="E43" s="8"/>
      <c r="F43" s="8"/>
      <c r="G43" s="8"/>
      <c r="H43" s="5"/>
    </row>
    <row r="44" spans="1:8" ht="15.75" customHeight="1">
      <c r="A44" s="4">
        <v>43</v>
      </c>
      <c r="B44" s="3">
        <v>21593</v>
      </c>
      <c r="C44" s="4">
        <v>45</v>
      </c>
      <c r="D44" s="15"/>
      <c r="E44" s="8"/>
      <c r="F44" s="8"/>
      <c r="G44" s="8"/>
      <c r="H44" s="5"/>
    </row>
    <row r="45" spans="1:8" ht="15.75" customHeight="1">
      <c r="A45" s="4">
        <v>44</v>
      </c>
      <c r="B45" s="3">
        <v>21594</v>
      </c>
      <c r="C45" s="4">
        <v>51</v>
      </c>
      <c r="D45" s="15"/>
      <c r="E45" s="8"/>
      <c r="F45" s="8"/>
      <c r="G45" s="8"/>
      <c r="H45" s="5"/>
    </row>
    <row r="46" spans="1:8" ht="15.75" customHeight="1">
      <c r="A46" s="4">
        <v>45</v>
      </c>
      <c r="B46" s="3">
        <v>21595</v>
      </c>
      <c r="C46" s="4">
        <v>34</v>
      </c>
      <c r="D46" s="15"/>
      <c r="E46" s="8"/>
      <c r="F46" s="8"/>
      <c r="G46" s="8"/>
      <c r="H46" s="5"/>
    </row>
    <row r="47" spans="1:8" ht="15.75" customHeight="1">
      <c r="A47" s="4">
        <v>46</v>
      </c>
      <c r="B47" s="3">
        <v>21596</v>
      </c>
      <c r="C47" s="4">
        <v>52</v>
      </c>
      <c r="D47" s="15"/>
      <c r="E47" s="8"/>
      <c r="F47" s="8"/>
      <c r="G47" s="8"/>
      <c r="H47" s="5"/>
    </row>
    <row r="48" spans="1:8" ht="15.75" customHeight="1">
      <c r="A48" s="4">
        <v>47</v>
      </c>
      <c r="B48" s="3">
        <v>21597</v>
      </c>
      <c r="C48" s="4">
        <v>47</v>
      </c>
      <c r="D48" s="15"/>
      <c r="E48" s="8"/>
      <c r="F48" s="8"/>
      <c r="G48" s="8"/>
      <c r="H48" s="5"/>
    </row>
    <row r="49" spans="1:8" ht="15.75" customHeight="1">
      <c r="A49" s="4">
        <v>48</v>
      </c>
      <c r="B49" s="3">
        <v>21598</v>
      </c>
      <c r="C49" s="4">
        <v>45</v>
      </c>
      <c r="D49" s="15"/>
      <c r="E49" s="8"/>
      <c r="F49" s="8"/>
      <c r="G49" s="8"/>
      <c r="H49" s="5"/>
    </row>
    <row r="50" spans="1:8" ht="15.75" customHeight="1">
      <c r="A50" s="4">
        <v>49</v>
      </c>
      <c r="B50" s="3">
        <v>21599</v>
      </c>
      <c r="C50" s="4">
        <v>46</v>
      </c>
      <c r="D50" s="15"/>
      <c r="E50" s="8"/>
      <c r="F50" s="8"/>
      <c r="G50" s="8"/>
      <c r="H50" s="5"/>
    </row>
    <row r="51" spans="1:8" ht="15.75" customHeight="1">
      <c r="A51" s="4">
        <v>50</v>
      </c>
      <c r="B51" s="3">
        <v>21600</v>
      </c>
      <c r="C51" s="4">
        <v>39</v>
      </c>
      <c r="D51" s="15"/>
      <c r="E51" s="8"/>
      <c r="F51" s="8"/>
      <c r="G51" s="8"/>
      <c r="H51" s="5"/>
    </row>
    <row r="52" spans="1:8" ht="15.75" customHeight="1">
      <c r="A52" s="4">
        <v>51</v>
      </c>
      <c r="B52" s="3">
        <v>21601</v>
      </c>
      <c r="C52" s="4">
        <v>48</v>
      </c>
      <c r="D52" s="15"/>
      <c r="E52" s="8"/>
      <c r="F52" s="8"/>
      <c r="G52" s="8"/>
      <c r="H52" s="5"/>
    </row>
    <row r="53" spans="1:8" ht="15.75" customHeight="1">
      <c r="A53" s="4">
        <v>52</v>
      </c>
      <c r="B53" s="3">
        <v>21602</v>
      </c>
      <c r="C53" s="4">
        <v>37</v>
      </c>
      <c r="D53" s="15"/>
      <c r="E53" s="8"/>
      <c r="F53" s="8"/>
      <c r="G53" s="8"/>
      <c r="H53" s="5"/>
    </row>
    <row r="54" spans="1:8" ht="15.75" customHeight="1">
      <c r="A54" s="4">
        <v>53</v>
      </c>
      <c r="B54" s="3">
        <v>21603</v>
      </c>
      <c r="C54" s="4">
        <v>35</v>
      </c>
      <c r="D54" s="15"/>
      <c r="E54" s="8"/>
      <c r="F54" s="8"/>
      <c r="G54" s="8"/>
      <c r="H54" s="5"/>
    </row>
    <row r="55" spans="1:8" ht="15.75" customHeight="1">
      <c r="A55" s="4">
        <v>54</v>
      </c>
      <c r="B55" s="3">
        <v>21604</v>
      </c>
      <c r="C55" s="4">
        <v>52</v>
      </c>
      <c r="D55" s="15"/>
      <c r="E55" s="8"/>
      <c r="F55" s="8"/>
      <c r="G55" s="8"/>
      <c r="H55" s="5"/>
    </row>
    <row r="56" spans="1:8" ht="15.75" customHeight="1">
      <c r="A56" s="4">
        <v>55</v>
      </c>
      <c r="B56" s="3">
        <v>21605</v>
      </c>
      <c r="C56" s="4">
        <v>42</v>
      </c>
      <c r="D56" s="15"/>
      <c r="E56" s="8"/>
      <c r="F56" s="8"/>
      <c r="G56" s="8"/>
      <c r="H56" s="5"/>
    </row>
    <row r="57" spans="1:8" ht="15.75" customHeight="1">
      <c r="A57" s="4">
        <v>56</v>
      </c>
      <c r="B57" s="3">
        <v>21606</v>
      </c>
      <c r="C57" s="4">
        <v>45</v>
      </c>
      <c r="D57" s="15"/>
      <c r="E57" s="8"/>
      <c r="F57" s="8"/>
      <c r="G57" s="8"/>
      <c r="H57" s="5"/>
    </row>
    <row r="58" spans="1:8" ht="15.75" customHeight="1">
      <c r="A58" s="4">
        <v>57</v>
      </c>
      <c r="B58" s="3">
        <v>21607</v>
      </c>
      <c r="C58" s="4">
        <v>39</v>
      </c>
      <c r="D58" s="15"/>
      <c r="E58" s="8"/>
      <c r="F58" s="8"/>
      <c r="G58" s="8"/>
      <c r="H58" s="5"/>
    </row>
    <row r="59" spans="1:8" ht="15.75" customHeight="1">
      <c r="A59" s="4">
        <v>58</v>
      </c>
      <c r="B59" s="3">
        <v>21608</v>
      </c>
      <c r="C59" s="4">
        <v>37</v>
      </c>
      <c r="D59" s="15"/>
      <c r="E59" s="8"/>
      <c r="F59" s="8"/>
      <c r="G59" s="8"/>
      <c r="H59" s="5"/>
    </row>
    <row r="60" spans="1:8" ht="15.75" customHeight="1">
      <c r="A60" s="4">
        <v>59</v>
      </c>
      <c r="B60" s="3">
        <v>21609</v>
      </c>
      <c r="C60" s="4">
        <v>30</v>
      </c>
      <c r="D60" s="15"/>
      <c r="E60" s="8"/>
      <c r="F60" s="8"/>
      <c r="G60" s="8"/>
      <c r="H60" s="5"/>
    </row>
    <row r="61" spans="1:8" ht="15.75" customHeight="1">
      <c r="A61" s="4">
        <v>60</v>
      </c>
      <c r="B61" s="3">
        <v>21610</v>
      </c>
      <c r="C61" s="4">
        <v>35</v>
      </c>
      <c r="D61" s="15"/>
      <c r="E61" s="8"/>
      <c r="F61" s="8"/>
      <c r="G61" s="8"/>
      <c r="H61" s="5"/>
    </row>
    <row r="62" spans="1:8" ht="15.75" customHeight="1">
      <c r="A62" s="4">
        <v>61</v>
      </c>
      <c r="B62" s="3">
        <v>21611</v>
      </c>
      <c r="C62" s="4">
        <v>28</v>
      </c>
      <c r="D62" s="15"/>
      <c r="E62" s="8"/>
      <c r="F62" s="8"/>
      <c r="G62" s="8"/>
      <c r="H62" s="5"/>
    </row>
    <row r="63" spans="1:8" ht="15.75" customHeight="1">
      <c r="A63" s="4">
        <v>62</v>
      </c>
      <c r="B63" s="3">
        <v>21612</v>
      </c>
      <c r="C63" s="4">
        <v>45</v>
      </c>
      <c r="D63" s="15"/>
      <c r="E63" s="8"/>
      <c r="F63" s="8"/>
      <c r="G63" s="8"/>
      <c r="H63" s="5"/>
    </row>
    <row r="64" spans="1:8" ht="15.75" customHeight="1">
      <c r="A64" s="4">
        <v>63</v>
      </c>
      <c r="B64" s="3">
        <v>21613</v>
      </c>
      <c r="C64" s="4">
        <v>34</v>
      </c>
      <c r="D64" s="15"/>
      <c r="E64" s="8"/>
      <c r="F64" s="8"/>
      <c r="G64" s="8"/>
      <c r="H64" s="5"/>
    </row>
    <row r="65" spans="1:8" ht="15.75" customHeight="1">
      <c r="A65" s="4">
        <v>64</v>
      </c>
      <c r="B65" s="3">
        <v>21614</v>
      </c>
      <c r="C65" s="4">
        <v>36</v>
      </c>
      <c r="D65" s="15"/>
      <c r="E65" s="8"/>
      <c r="F65" s="8"/>
      <c r="G65" s="8"/>
      <c r="H65" s="5"/>
    </row>
    <row r="66" spans="1:8" ht="15.75" customHeight="1">
      <c r="A66" s="4">
        <v>65</v>
      </c>
      <c r="B66" s="3">
        <v>21615</v>
      </c>
      <c r="C66" s="4">
        <v>50</v>
      </c>
      <c r="D66" s="15"/>
      <c r="E66" s="8"/>
      <c r="F66" s="8"/>
      <c r="G66" s="8"/>
      <c r="H66" s="5"/>
    </row>
    <row r="67" spans="1:8" ht="15.75" customHeight="1">
      <c r="A67" s="4">
        <v>66</v>
      </c>
      <c r="B67" s="3">
        <v>21616</v>
      </c>
      <c r="C67" s="4">
        <v>44</v>
      </c>
      <c r="D67" s="15"/>
      <c r="E67" s="8"/>
      <c r="F67" s="8"/>
      <c r="G67" s="8"/>
      <c r="H67" s="5"/>
    </row>
    <row r="68" spans="1:8" ht="15.75" customHeight="1">
      <c r="A68" s="4">
        <v>67</v>
      </c>
      <c r="B68" s="3">
        <v>21617</v>
      </c>
      <c r="C68" s="4">
        <v>39</v>
      </c>
      <c r="D68" s="15"/>
      <c r="E68" s="8"/>
      <c r="F68" s="8"/>
      <c r="G68" s="8"/>
      <c r="H68" s="5"/>
    </row>
    <row r="69" spans="1:8" ht="15.75" customHeight="1">
      <c r="A69" s="4">
        <v>68</v>
      </c>
      <c r="B69" s="3">
        <v>21618</v>
      </c>
      <c r="C69" s="4">
        <v>32</v>
      </c>
      <c r="D69" s="15"/>
      <c r="E69" s="8"/>
      <c r="F69" s="8"/>
      <c r="G69" s="8"/>
      <c r="H69" s="5"/>
    </row>
    <row r="70" spans="1:8" ht="15.75" customHeight="1">
      <c r="A70" s="4">
        <v>69</v>
      </c>
      <c r="B70" s="3">
        <v>21619</v>
      </c>
      <c r="C70" s="4">
        <v>39</v>
      </c>
      <c r="D70" s="15"/>
      <c r="E70" s="8"/>
      <c r="F70" s="8"/>
      <c r="G70" s="8"/>
      <c r="H70" s="5"/>
    </row>
    <row r="71" spans="1:8" ht="15.75" customHeight="1">
      <c r="A71" s="4">
        <v>70</v>
      </c>
      <c r="B71" s="3">
        <v>21620</v>
      </c>
      <c r="C71" s="4">
        <v>45</v>
      </c>
      <c r="D71" s="15"/>
      <c r="E71" s="8"/>
      <c r="F71" s="8"/>
      <c r="G71" s="8"/>
      <c r="H71" s="5"/>
    </row>
    <row r="72" spans="1:8" ht="15.75" customHeight="1">
      <c r="A72" s="4">
        <v>71</v>
      </c>
      <c r="B72" s="3">
        <v>21621</v>
      </c>
      <c r="C72" s="4">
        <v>43</v>
      </c>
      <c r="D72" s="15"/>
      <c r="E72" s="8"/>
      <c r="F72" s="8"/>
      <c r="G72" s="8"/>
      <c r="H72" s="5"/>
    </row>
    <row r="73" spans="1:8" ht="15.75" customHeight="1">
      <c r="A73" s="4">
        <v>72</v>
      </c>
      <c r="B73" s="3">
        <v>21622</v>
      </c>
      <c r="C73" s="4">
        <v>39</v>
      </c>
      <c r="D73" s="15"/>
      <c r="E73" s="8"/>
      <c r="F73" s="8"/>
      <c r="G73" s="8"/>
      <c r="H73" s="5"/>
    </row>
    <row r="74" spans="1:8" ht="15.75" customHeight="1">
      <c r="A74" s="4">
        <v>73</v>
      </c>
      <c r="B74" s="3">
        <v>21623</v>
      </c>
      <c r="C74" s="4">
        <v>31</v>
      </c>
      <c r="D74" s="15"/>
      <c r="E74" s="8"/>
      <c r="F74" s="8"/>
      <c r="G74" s="8"/>
      <c r="H74" s="5"/>
    </row>
    <row r="75" spans="1:8" ht="15.75" customHeight="1">
      <c r="A75" s="4">
        <v>74</v>
      </c>
      <c r="B75" s="3">
        <v>21624</v>
      </c>
      <c r="C75" s="4">
        <v>27</v>
      </c>
      <c r="D75" s="15"/>
      <c r="E75" s="8"/>
      <c r="F75" s="8"/>
      <c r="G75" s="8"/>
      <c r="H75" s="5"/>
    </row>
    <row r="76" spans="1:8" ht="15.75" customHeight="1">
      <c r="A76" s="4">
        <v>75</v>
      </c>
      <c r="B76" s="3">
        <v>21625</v>
      </c>
      <c r="C76" s="4">
        <v>30</v>
      </c>
      <c r="D76" s="15"/>
      <c r="E76" s="8"/>
      <c r="F76" s="8"/>
      <c r="G76" s="8"/>
      <c r="H76" s="5"/>
    </row>
    <row r="77" spans="1:8" ht="15.75" customHeight="1">
      <c r="A77" s="4">
        <v>76</v>
      </c>
      <c r="B77" s="3">
        <v>21626</v>
      </c>
      <c r="C77" s="4">
        <v>42</v>
      </c>
      <c r="D77" s="15"/>
      <c r="E77" s="8"/>
      <c r="F77" s="8"/>
      <c r="G77" s="8"/>
      <c r="H77" s="5"/>
    </row>
    <row r="78" spans="1:8" ht="15.75" customHeight="1">
      <c r="A78" s="4">
        <v>77</v>
      </c>
      <c r="B78" s="3">
        <v>21627</v>
      </c>
      <c r="C78" s="4">
        <v>46</v>
      </c>
      <c r="D78" s="15"/>
      <c r="E78" s="8"/>
      <c r="F78" s="8"/>
      <c r="G78" s="8"/>
      <c r="H78" s="5"/>
    </row>
    <row r="79" spans="1:8" ht="15.75" customHeight="1">
      <c r="A79" s="4">
        <v>78</v>
      </c>
      <c r="B79" s="3">
        <v>21628</v>
      </c>
      <c r="C79" s="4">
        <v>41</v>
      </c>
      <c r="D79" s="15"/>
      <c r="E79" s="8"/>
      <c r="F79" s="8"/>
      <c r="G79" s="8"/>
      <c r="H79" s="5"/>
    </row>
    <row r="80" spans="1:8" ht="15.75" customHeight="1">
      <c r="A80" s="4">
        <v>79</v>
      </c>
      <c r="B80" s="3">
        <v>21629</v>
      </c>
      <c r="C80" s="4">
        <v>36</v>
      </c>
      <c r="D80" s="15"/>
      <c r="E80" s="8"/>
      <c r="F80" s="8"/>
      <c r="G80" s="8"/>
      <c r="H80" s="5"/>
    </row>
    <row r="81" spans="1:8" ht="15.75" customHeight="1">
      <c r="A81" s="4">
        <v>80</v>
      </c>
      <c r="B81" s="3">
        <v>21630</v>
      </c>
      <c r="C81" s="4">
        <v>45</v>
      </c>
      <c r="D81" s="15"/>
      <c r="E81" s="8"/>
      <c r="F81" s="8"/>
      <c r="G81" s="8"/>
      <c r="H81" s="5"/>
    </row>
    <row r="82" spans="1:8" ht="15.75" customHeight="1">
      <c r="A82" s="4">
        <v>81</v>
      </c>
      <c r="B82" s="3">
        <v>21631</v>
      </c>
      <c r="C82" s="4">
        <v>46</v>
      </c>
      <c r="D82" s="15"/>
      <c r="E82" s="8"/>
      <c r="F82" s="8"/>
      <c r="G82" s="8"/>
      <c r="H82" s="5"/>
    </row>
    <row r="83" spans="1:8" ht="15.75" customHeight="1">
      <c r="A83" s="4">
        <v>82</v>
      </c>
      <c r="B83" s="3">
        <v>21632</v>
      </c>
      <c r="C83" s="4">
        <v>43</v>
      </c>
      <c r="D83" s="15"/>
      <c r="E83" s="8"/>
      <c r="F83" s="8"/>
      <c r="G83" s="8"/>
      <c r="H83" s="5"/>
    </row>
    <row r="84" spans="1:8" ht="15.75" customHeight="1">
      <c r="A84" s="4">
        <v>83</v>
      </c>
      <c r="B84" s="3">
        <v>21633</v>
      </c>
      <c r="C84" s="4">
        <v>38</v>
      </c>
      <c r="D84" s="15"/>
      <c r="E84" s="8"/>
      <c r="F84" s="8"/>
      <c r="G84" s="8"/>
      <c r="H84" s="5"/>
    </row>
    <row r="85" spans="1:8" ht="15.75" customHeight="1">
      <c r="A85" s="4">
        <v>84</v>
      </c>
      <c r="B85" s="3">
        <v>21634</v>
      </c>
      <c r="C85" s="4">
        <v>34</v>
      </c>
      <c r="D85" s="15"/>
      <c r="E85" s="8"/>
      <c r="F85" s="8"/>
      <c r="G85" s="8"/>
      <c r="H85" s="5"/>
    </row>
    <row r="86" spans="1:8" ht="15.75" customHeight="1">
      <c r="A86" s="4">
        <v>85</v>
      </c>
      <c r="B86" s="3">
        <v>21635</v>
      </c>
      <c r="C86" s="4">
        <v>35</v>
      </c>
      <c r="D86" s="15"/>
      <c r="E86" s="8"/>
      <c r="F86" s="8"/>
      <c r="G86" s="8"/>
      <c r="H86" s="5"/>
    </row>
    <row r="87" spans="1:8" ht="15.75" customHeight="1">
      <c r="A87" s="4">
        <v>86</v>
      </c>
      <c r="B87" s="3">
        <v>21636</v>
      </c>
      <c r="C87" s="4">
        <v>56</v>
      </c>
      <c r="D87" s="15"/>
      <c r="E87" s="8"/>
      <c r="F87" s="8"/>
      <c r="G87" s="8"/>
      <c r="H87" s="5"/>
    </row>
    <row r="88" spans="1:8" ht="15.75" customHeight="1">
      <c r="A88" s="4">
        <v>87</v>
      </c>
      <c r="B88" s="3">
        <v>21637</v>
      </c>
      <c r="C88" s="4">
        <v>36</v>
      </c>
      <c r="D88" s="15"/>
      <c r="E88" s="8"/>
      <c r="F88" s="8"/>
      <c r="G88" s="8"/>
      <c r="H88" s="5"/>
    </row>
    <row r="89" spans="1:8" ht="15.75" customHeight="1">
      <c r="A89" s="4">
        <v>88</v>
      </c>
      <c r="B89" s="3">
        <v>21638</v>
      </c>
      <c r="C89" s="4">
        <v>32</v>
      </c>
      <c r="D89" s="15"/>
      <c r="E89" s="8"/>
      <c r="F89" s="8"/>
      <c r="G89" s="8"/>
      <c r="H89" s="5"/>
    </row>
    <row r="90" spans="1:8" ht="15.75" customHeight="1">
      <c r="A90" s="4">
        <v>89</v>
      </c>
      <c r="B90" s="3">
        <v>21639</v>
      </c>
      <c r="C90" s="4">
        <v>50</v>
      </c>
      <c r="D90" s="15"/>
      <c r="E90" s="8"/>
      <c r="F90" s="8"/>
      <c r="G90" s="8"/>
      <c r="H90" s="5"/>
    </row>
    <row r="91" spans="1:8" ht="15.75" customHeight="1">
      <c r="A91" s="4">
        <v>90</v>
      </c>
      <c r="B91" s="3">
        <v>21640</v>
      </c>
      <c r="C91" s="4">
        <v>41</v>
      </c>
      <c r="D91" s="15"/>
      <c r="E91" s="8"/>
      <c r="F91" s="8"/>
      <c r="G91" s="8"/>
      <c r="H91" s="5"/>
    </row>
    <row r="92" spans="1:8" ht="15.75" customHeight="1">
      <c r="A92" s="4">
        <v>91</v>
      </c>
      <c r="B92" s="3">
        <v>21641</v>
      </c>
      <c r="C92" s="4">
        <v>39</v>
      </c>
      <c r="D92" s="15"/>
      <c r="E92" s="8"/>
      <c r="F92" s="8"/>
      <c r="G92" s="8"/>
      <c r="H92" s="5"/>
    </row>
    <row r="93" spans="1:8" ht="15.75" customHeight="1">
      <c r="A93" s="4">
        <v>92</v>
      </c>
      <c r="B93" s="3">
        <v>21642</v>
      </c>
      <c r="C93" s="4">
        <v>41</v>
      </c>
      <c r="D93" s="15"/>
      <c r="E93" s="8"/>
      <c r="F93" s="8"/>
      <c r="G93" s="8"/>
      <c r="H93" s="5"/>
    </row>
    <row r="94" spans="1:8" ht="15.75" customHeight="1">
      <c r="A94" s="4">
        <v>93</v>
      </c>
      <c r="B94" s="3">
        <v>21643</v>
      </c>
      <c r="C94" s="4">
        <v>47</v>
      </c>
      <c r="D94" s="15"/>
      <c r="E94" s="8"/>
      <c r="F94" s="8"/>
      <c r="G94" s="8"/>
      <c r="H94" s="5"/>
    </row>
    <row r="95" spans="1:8" ht="15.75" customHeight="1">
      <c r="A95" s="4">
        <v>94</v>
      </c>
      <c r="B95" s="3">
        <v>21644</v>
      </c>
      <c r="C95" s="4">
        <v>34</v>
      </c>
      <c r="D95" s="15"/>
      <c r="E95" s="8"/>
      <c r="F95" s="8"/>
      <c r="G95" s="8"/>
      <c r="H95" s="5"/>
    </row>
    <row r="96" spans="1:8" ht="15.75" customHeight="1">
      <c r="A96" s="4">
        <v>95</v>
      </c>
      <c r="B96" s="3">
        <v>21645</v>
      </c>
      <c r="C96" s="4">
        <v>36</v>
      </c>
      <c r="D96" s="15"/>
      <c r="E96" s="8"/>
      <c r="F96" s="8"/>
      <c r="G96" s="8"/>
      <c r="H96" s="5"/>
    </row>
    <row r="97" spans="1:8" ht="15.75" customHeight="1">
      <c r="A97" s="4">
        <v>96</v>
      </c>
      <c r="B97" s="3">
        <v>21646</v>
      </c>
      <c r="C97" s="4">
        <v>33</v>
      </c>
      <c r="D97" s="15"/>
      <c r="E97" s="8"/>
      <c r="F97" s="8"/>
      <c r="G97" s="8"/>
      <c r="H97" s="5"/>
    </row>
    <row r="98" spans="1:8" ht="15.75" customHeight="1">
      <c r="A98" s="4">
        <v>97</v>
      </c>
      <c r="B98" s="3">
        <v>21647</v>
      </c>
      <c r="C98" s="4">
        <v>35</v>
      </c>
      <c r="D98" s="15"/>
      <c r="E98" s="8"/>
      <c r="F98" s="8"/>
      <c r="G98" s="8"/>
      <c r="H98" s="5"/>
    </row>
    <row r="99" spans="1:8" ht="15.75" customHeight="1">
      <c r="A99" s="4">
        <v>98</v>
      </c>
      <c r="B99" s="3">
        <v>21648</v>
      </c>
      <c r="C99" s="4">
        <v>38</v>
      </c>
      <c r="D99" s="15"/>
      <c r="E99" s="8"/>
      <c r="F99" s="8"/>
      <c r="G99" s="8"/>
      <c r="H99" s="5"/>
    </row>
    <row r="100" spans="1:8" ht="15.75" customHeight="1">
      <c r="A100" s="4">
        <v>99</v>
      </c>
      <c r="B100" s="3">
        <v>21649</v>
      </c>
      <c r="C100" s="4">
        <v>38</v>
      </c>
      <c r="D100" s="15"/>
      <c r="E100" s="8"/>
      <c r="F100" s="8"/>
      <c r="G100" s="8"/>
      <c r="H100" s="5"/>
    </row>
    <row r="101" spans="1:8" ht="15.75" customHeight="1">
      <c r="A101" s="4">
        <v>100</v>
      </c>
      <c r="B101" s="3">
        <v>21650</v>
      </c>
      <c r="C101" s="4">
        <v>34</v>
      </c>
      <c r="D101" s="15"/>
      <c r="E101" s="8"/>
      <c r="F101" s="8"/>
      <c r="G101" s="8"/>
      <c r="H101" s="5"/>
    </row>
    <row r="102" spans="1:8" ht="15.75" customHeight="1">
      <c r="A102" s="4">
        <v>101</v>
      </c>
      <c r="B102" s="3">
        <v>21651</v>
      </c>
      <c r="C102" s="4">
        <v>53</v>
      </c>
      <c r="D102" s="15"/>
      <c r="E102" s="8"/>
      <c r="F102" s="8"/>
      <c r="G102" s="8"/>
      <c r="H102" s="5"/>
    </row>
    <row r="103" spans="1:8" ht="15.75" customHeight="1">
      <c r="A103" s="4">
        <v>102</v>
      </c>
      <c r="B103" s="3">
        <v>21652</v>
      </c>
      <c r="C103" s="4">
        <v>34</v>
      </c>
      <c r="D103" s="15"/>
      <c r="E103" s="8"/>
      <c r="F103" s="8"/>
      <c r="G103" s="8"/>
      <c r="H103" s="5"/>
    </row>
    <row r="104" spans="1:8" ht="15.75" customHeight="1">
      <c r="A104" s="4">
        <v>103</v>
      </c>
      <c r="B104" s="3">
        <v>21653</v>
      </c>
      <c r="C104" s="4">
        <v>34</v>
      </c>
      <c r="D104" s="15"/>
      <c r="E104" s="8"/>
      <c r="F104" s="8"/>
      <c r="G104" s="8"/>
      <c r="H104" s="5"/>
    </row>
    <row r="105" spans="1:8" ht="15.75" customHeight="1">
      <c r="A105" s="4">
        <v>104</v>
      </c>
      <c r="B105" s="3">
        <v>21654</v>
      </c>
      <c r="C105" s="4">
        <v>38</v>
      </c>
      <c r="D105" s="15"/>
      <c r="E105" s="8"/>
      <c r="F105" s="8"/>
      <c r="G105" s="8"/>
      <c r="H105" s="5"/>
    </row>
    <row r="106" spans="1:8" ht="15.75" customHeight="1">
      <c r="A106" s="4">
        <v>105</v>
      </c>
      <c r="B106" s="3">
        <v>21655</v>
      </c>
      <c r="C106" s="4">
        <v>35</v>
      </c>
      <c r="D106" s="15"/>
      <c r="E106" s="8"/>
      <c r="F106" s="8"/>
      <c r="G106" s="8"/>
      <c r="H106" s="5"/>
    </row>
    <row r="107" spans="1:8" ht="15.75" customHeight="1">
      <c r="A107" s="4">
        <v>106</v>
      </c>
      <c r="B107" s="3">
        <v>21656</v>
      </c>
      <c r="C107" s="4">
        <v>32</v>
      </c>
      <c r="D107" s="15"/>
      <c r="E107" s="8"/>
      <c r="F107" s="8"/>
      <c r="G107" s="8"/>
      <c r="H107" s="5"/>
    </row>
    <row r="108" spans="1:8" ht="15.75" customHeight="1">
      <c r="A108" s="4">
        <v>107</v>
      </c>
      <c r="B108" s="3">
        <v>21657</v>
      </c>
      <c r="C108" s="4">
        <v>42</v>
      </c>
      <c r="D108" s="15"/>
      <c r="E108" s="8"/>
      <c r="F108" s="8"/>
      <c r="G108" s="8"/>
      <c r="H108" s="5"/>
    </row>
    <row r="109" spans="1:8" ht="15.75" customHeight="1">
      <c r="A109" s="4">
        <v>108</v>
      </c>
      <c r="B109" s="3">
        <v>21658</v>
      </c>
      <c r="C109" s="4">
        <v>34</v>
      </c>
      <c r="D109" s="15"/>
      <c r="E109" s="8"/>
      <c r="F109" s="8"/>
      <c r="G109" s="8"/>
      <c r="H109" s="5"/>
    </row>
    <row r="110" spans="1:8" ht="15.75" customHeight="1">
      <c r="A110" s="4">
        <v>109</v>
      </c>
      <c r="B110" s="3">
        <v>21659</v>
      </c>
      <c r="C110" s="4">
        <v>46</v>
      </c>
      <c r="D110" s="15"/>
      <c r="E110" s="8"/>
      <c r="F110" s="8"/>
      <c r="G110" s="8"/>
      <c r="H110" s="5"/>
    </row>
    <row r="111" spans="1:8" ht="15.75" customHeight="1">
      <c r="A111" s="4">
        <v>110</v>
      </c>
      <c r="B111" s="3">
        <v>21660</v>
      </c>
      <c r="C111" s="4">
        <v>30</v>
      </c>
      <c r="D111" s="15"/>
      <c r="E111" s="8"/>
      <c r="F111" s="8"/>
      <c r="G111" s="8"/>
      <c r="H111" s="5"/>
    </row>
    <row r="112" spans="1:8" ht="15.75" customHeight="1">
      <c r="A112" s="4">
        <v>111</v>
      </c>
      <c r="B112" s="3">
        <v>21661</v>
      </c>
      <c r="C112" s="4">
        <v>46</v>
      </c>
      <c r="D112" s="15"/>
      <c r="E112" s="8"/>
      <c r="F112" s="8"/>
      <c r="G112" s="8"/>
      <c r="H112" s="5"/>
    </row>
    <row r="113" spans="1:8" ht="15.75" customHeight="1">
      <c r="A113" s="4">
        <v>112</v>
      </c>
      <c r="B113" s="3">
        <v>21662</v>
      </c>
      <c r="C113" s="4">
        <v>45</v>
      </c>
      <c r="D113" s="15"/>
      <c r="E113" s="8"/>
      <c r="F113" s="8"/>
      <c r="G113" s="8"/>
      <c r="H113" s="5"/>
    </row>
    <row r="114" spans="1:8" ht="15.75" customHeight="1">
      <c r="A114" s="4">
        <v>113</v>
      </c>
      <c r="B114" s="3">
        <v>21663</v>
      </c>
      <c r="C114" s="4">
        <v>54</v>
      </c>
      <c r="D114" s="15"/>
      <c r="E114" s="8"/>
      <c r="F114" s="8"/>
      <c r="G114" s="8"/>
      <c r="H114" s="5"/>
    </row>
    <row r="115" spans="1:8" ht="15.75" customHeight="1">
      <c r="A115" s="4">
        <v>114</v>
      </c>
      <c r="B115" s="3">
        <v>21664</v>
      </c>
      <c r="C115" s="4">
        <v>34</v>
      </c>
      <c r="D115" s="15"/>
      <c r="E115" s="8"/>
      <c r="F115" s="8"/>
      <c r="G115" s="8"/>
      <c r="H115" s="5"/>
    </row>
    <row r="116" spans="1:8" ht="15.75" customHeight="1">
      <c r="A116" s="4">
        <v>115</v>
      </c>
      <c r="B116" s="3">
        <v>21665</v>
      </c>
      <c r="C116" s="4">
        <v>37</v>
      </c>
      <c r="D116" s="15"/>
      <c r="E116" s="8"/>
      <c r="F116" s="8"/>
      <c r="G116" s="8"/>
      <c r="H116" s="5"/>
    </row>
    <row r="117" spans="1:8" ht="15.75" customHeight="1">
      <c r="A117" s="4">
        <v>116</v>
      </c>
      <c r="B117" s="3">
        <v>21666</v>
      </c>
      <c r="C117" s="4">
        <v>35</v>
      </c>
      <c r="D117" s="15"/>
      <c r="E117" s="8"/>
      <c r="F117" s="8"/>
      <c r="G117" s="8"/>
      <c r="H117" s="5"/>
    </row>
    <row r="118" spans="1:8" ht="15.75" customHeight="1">
      <c r="A118" s="4">
        <v>117</v>
      </c>
      <c r="B118" s="3">
        <v>21667</v>
      </c>
      <c r="C118" s="4">
        <v>40</v>
      </c>
      <c r="D118" s="15"/>
      <c r="E118" s="8"/>
      <c r="F118" s="8"/>
      <c r="G118" s="8"/>
      <c r="H118" s="5"/>
    </row>
    <row r="119" spans="1:8" ht="15.75" customHeight="1">
      <c r="A119" s="4">
        <v>118</v>
      </c>
      <c r="B119" s="3">
        <v>21668</v>
      </c>
      <c r="C119" s="4">
        <v>42</v>
      </c>
      <c r="D119" s="15"/>
      <c r="E119" s="8"/>
      <c r="F119" s="8"/>
      <c r="G119" s="8"/>
      <c r="H119" s="5"/>
    </row>
    <row r="120" spans="1:8" ht="15.75" customHeight="1">
      <c r="A120" s="4">
        <v>119</v>
      </c>
      <c r="B120" s="3">
        <v>21669</v>
      </c>
      <c r="C120" s="4">
        <v>58</v>
      </c>
      <c r="D120" s="15"/>
      <c r="E120" s="8"/>
      <c r="F120" s="8"/>
      <c r="G120" s="8"/>
      <c r="H120" s="5"/>
    </row>
    <row r="121" spans="1:8" ht="15.75" customHeight="1">
      <c r="A121" s="4">
        <v>120</v>
      </c>
      <c r="B121" s="3">
        <v>21670</v>
      </c>
      <c r="C121" s="4">
        <v>51</v>
      </c>
      <c r="D121" s="15"/>
      <c r="E121" s="8"/>
      <c r="F121" s="8"/>
      <c r="G121" s="8"/>
      <c r="H121" s="5"/>
    </row>
    <row r="122" spans="1:8" ht="15.75" customHeight="1">
      <c r="A122" s="4">
        <v>121</v>
      </c>
      <c r="B122" s="3">
        <v>21671</v>
      </c>
      <c r="C122" s="4">
        <v>32</v>
      </c>
      <c r="D122" s="15"/>
      <c r="E122" s="8"/>
      <c r="F122" s="8"/>
      <c r="G122" s="8"/>
      <c r="H122" s="5"/>
    </row>
    <row r="123" spans="1:8" ht="15.75" customHeight="1">
      <c r="A123" s="4">
        <v>122</v>
      </c>
      <c r="B123" s="3">
        <v>21672</v>
      </c>
      <c r="C123" s="4">
        <v>35</v>
      </c>
      <c r="D123" s="15"/>
      <c r="E123" s="8"/>
      <c r="F123" s="8"/>
      <c r="G123" s="8"/>
      <c r="H123" s="5"/>
    </row>
    <row r="124" spans="1:8" ht="15.75" customHeight="1">
      <c r="A124" s="4">
        <v>123</v>
      </c>
      <c r="B124" s="3">
        <v>21673</v>
      </c>
      <c r="C124" s="4">
        <v>38</v>
      </c>
      <c r="D124" s="15"/>
      <c r="E124" s="8"/>
      <c r="F124" s="8"/>
      <c r="G124" s="8"/>
      <c r="H124" s="5"/>
    </row>
    <row r="125" spans="1:8" ht="15.75" customHeight="1">
      <c r="A125" s="4">
        <v>124</v>
      </c>
      <c r="B125" s="3">
        <v>21674</v>
      </c>
      <c r="C125" s="4">
        <v>33</v>
      </c>
      <c r="D125" s="15"/>
      <c r="E125" s="8"/>
      <c r="F125" s="8"/>
      <c r="G125" s="8"/>
      <c r="H125" s="5"/>
    </row>
    <row r="126" spans="1:8" ht="15.75" customHeight="1">
      <c r="A126" s="4">
        <v>125</v>
      </c>
      <c r="B126" s="3">
        <v>21675</v>
      </c>
      <c r="C126" s="4">
        <v>39</v>
      </c>
      <c r="D126" s="15"/>
      <c r="E126" s="8"/>
      <c r="F126" s="8"/>
      <c r="G126" s="8"/>
      <c r="H126" s="5"/>
    </row>
    <row r="127" spans="1:8" ht="15.75" customHeight="1">
      <c r="A127" s="4">
        <v>126</v>
      </c>
      <c r="B127" s="3">
        <v>21676</v>
      </c>
      <c r="C127" s="4">
        <v>47</v>
      </c>
      <c r="D127" s="15"/>
      <c r="E127" s="8"/>
      <c r="F127" s="8"/>
      <c r="G127" s="8"/>
      <c r="H127" s="5"/>
    </row>
    <row r="128" spans="1:8" ht="15.75" customHeight="1">
      <c r="A128" s="4">
        <v>127</v>
      </c>
      <c r="B128" s="3">
        <v>21677</v>
      </c>
      <c r="C128" s="4">
        <v>38</v>
      </c>
      <c r="D128" s="15"/>
      <c r="E128" s="8"/>
      <c r="F128" s="8"/>
      <c r="G128" s="8"/>
      <c r="H128" s="5"/>
    </row>
    <row r="129" spans="1:8" ht="15.75" customHeight="1">
      <c r="A129" s="4">
        <v>128</v>
      </c>
      <c r="B129" s="3">
        <v>21678</v>
      </c>
      <c r="C129" s="4">
        <v>52</v>
      </c>
      <c r="D129" s="15"/>
      <c r="E129" s="8"/>
      <c r="F129" s="8"/>
      <c r="G129" s="8"/>
      <c r="H129" s="5"/>
    </row>
    <row r="130" spans="1:8" ht="15.75" customHeight="1">
      <c r="A130" s="4">
        <v>129</v>
      </c>
      <c r="B130" s="3">
        <v>21679</v>
      </c>
      <c r="C130" s="4">
        <v>30</v>
      </c>
      <c r="D130" s="15"/>
      <c r="E130" s="8"/>
      <c r="F130" s="8"/>
      <c r="G130" s="8"/>
      <c r="H130" s="5"/>
    </row>
    <row r="131" spans="1:8" ht="15.75" customHeight="1">
      <c r="A131" s="4">
        <v>130</v>
      </c>
      <c r="B131" s="3">
        <v>21680</v>
      </c>
      <c r="C131" s="4">
        <v>34</v>
      </c>
      <c r="D131" s="15"/>
      <c r="E131" s="8"/>
      <c r="F131" s="8"/>
      <c r="G131" s="8"/>
      <c r="H131" s="5"/>
    </row>
    <row r="132" spans="1:8" ht="15.75" customHeight="1">
      <c r="A132" s="4">
        <v>131</v>
      </c>
      <c r="B132" s="3">
        <v>21681</v>
      </c>
      <c r="C132" s="4">
        <v>40</v>
      </c>
      <c r="D132" s="15"/>
      <c r="E132" s="8"/>
      <c r="F132" s="8"/>
      <c r="G132" s="8"/>
      <c r="H132" s="5"/>
    </row>
    <row r="133" spans="1:8" ht="15.75" customHeight="1">
      <c r="A133" s="4">
        <v>132</v>
      </c>
      <c r="B133" s="3">
        <v>21682</v>
      </c>
      <c r="C133" s="4">
        <v>35</v>
      </c>
      <c r="D133" s="15"/>
      <c r="E133" s="8"/>
      <c r="F133" s="8"/>
      <c r="G133" s="8"/>
      <c r="H133" s="5"/>
    </row>
    <row r="134" spans="1:8" ht="15.75" customHeight="1">
      <c r="A134" s="4">
        <v>133</v>
      </c>
      <c r="B134" s="3">
        <v>21683</v>
      </c>
      <c r="C134" s="4">
        <v>42</v>
      </c>
      <c r="D134" s="15"/>
      <c r="E134" s="8"/>
      <c r="F134" s="8"/>
      <c r="G134" s="8"/>
      <c r="H134" s="5"/>
    </row>
    <row r="135" spans="1:8" ht="15.75" customHeight="1">
      <c r="A135" s="4">
        <v>134</v>
      </c>
      <c r="B135" s="3">
        <v>21684</v>
      </c>
      <c r="C135" s="4">
        <v>41</v>
      </c>
      <c r="D135" s="15"/>
      <c r="E135" s="8"/>
      <c r="F135" s="8"/>
      <c r="G135" s="8"/>
      <c r="H135" s="5"/>
    </row>
    <row r="136" spans="1:8" ht="15.75" customHeight="1">
      <c r="A136" s="4">
        <v>135</v>
      </c>
      <c r="B136" s="3">
        <v>21685</v>
      </c>
      <c r="C136" s="4">
        <v>42</v>
      </c>
      <c r="D136" s="15"/>
      <c r="E136" s="8"/>
      <c r="F136" s="8"/>
      <c r="G136" s="8"/>
      <c r="H136" s="5"/>
    </row>
    <row r="137" spans="1:8" ht="15.75" customHeight="1">
      <c r="A137" s="4">
        <v>136</v>
      </c>
      <c r="B137" s="3">
        <v>21686</v>
      </c>
      <c r="C137" s="4">
        <v>38</v>
      </c>
      <c r="D137" s="15"/>
      <c r="E137" s="8"/>
      <c r="F137" s="8"/>
      <c r="G137" s="8"/>
      <c r="H137" s="5"/>
    </row>
    <row r="138" spans="1:8" ht="15.75" customHeight="1">
      <c r="A138" s="4">
        <v>137</v>
      </c>
      <c r="B138" s="3">
        <v>21687</v>
      </c>
      <c r="C138" s="4">
        <v>24</v>
      </c>
      <c r="D138" s="15"/>
      <c r="E138" s="8"/>
      <c r="F138" s="8"/>
      <c r="G138" s="8"/>
      <c r="H138" s="5"/>
    </row>
    <row r="139" spans="1:8" ht="15.75" customHeight="1">
      <c r="A139" s="4">
        <v>138</v>
      </c>
      <c r="B139" s="3">
        <v>21688</v>
      </c>
      <c r="C139" s="4">
        <v>34</v>
      </c>
      <c r="D139" s="15"/>
      <c r="E139" s="8"/>
      <c r="F139" s="8"/>
      <c r="G139" s="8"/>
      <c r="H139" s="5"/>
    </row>
    <row r="140" spans="1:8" ht="15.75" customHeight="1">
      <c r="A140" s="4">
        <v>139</v>
      </c>
      <c r="B140" s="3">
        <v>21689</v>
      </c>
      <c r="C140" s="4">
        <v>43</v>
      </c>
      <c r="D140" s="15"/>
      <c r="E140" s="8"/>
      <c r="F140" s="8"/>
      <c r="G140" s="8"/>
      <c r="H140" s="5"/>
    </row>
    <row r="141" spans="1:8" ht="15.75" customHeight="1">
      <c r="A141" s="4">
        <v>140</v>
      </c>
      <c r="B141" s="3">
        <v>21690</v>
      </c>
      <c r="C141" s="4">
        <v>36</v>
      </c>
      <c r="D141" s="15"/>
      <c r="E141" s="8"/>
      <c r="F141" s="8"/>
      <c r="G141" s="8"/>
      <c r="H141" s="5"/>
    </row>
    <row r="142" spans="1:8" ht="15.75" customHeight="1">
      <c r="A142" s="4">
        <v>141</v>
      </c>
      <c r="B142" s="3">
        <v>21691</v>
      </c>
      <c r="C142" s="4">
        <v>55</v>
      </c>
      <c r="D142" s="15"/>
      <c r="E142" s="8"/>
      <c r="F142" s="8"/>
      <c r="G142" s="8"/>
      <c r="H142" s="5"/>
    </row>
    <row r="143" spans="1:8" ht="15.75" customHeight="1">
      <c r="A143" s="4">
        <v>142</v>
      </c>
      <c r="B143" s="3">
        <v>21692</v>
      </c>
      <c r="C143" s="4">
        <v>41</v>
      </c>
      <c r="D143" s="15"/>
      <c r="E143" s="8"/>
      <c r="F143" s="8"/>
      <c r="G143" s="8"/>
      <c r="H143" s="5"/>
    </row>
    <row r="144" spans="1:8" ht="15.75" customHeight="1">
      <c r="A144" s="4">
        <v>143</v>
      </c>
      <c r="B144" s="3">
        <v>21693</v>
      </c>
      <c r="C144" s="4">
        <v>45</v>
      </c>
      <c r="D144" s="15"/>
      <c r="E144" s="8"/>
      <c r="F144" s="8"/>
      <c r="G144" s="8"/>
      <c r="H144" s="5"/>
    </row>
    <row r="145" spans="1:8" ht="15.75" customHeight="1">
      <c r="A145" s="4">
        <v>144</v>
      </c>
      <c r="B145" s="3">
        <v>21694</v>
      </c>
      <c r="C145" s="4">
        <v>41</v>
      </c>
      <c r="D145" s="15"/>
      <c r="E145" s="8"/>
      <c r="F145" s="8"/>
      <c r="G145" s="8"/>
      <c r="H145" s="5"/>
    </row>
    <row r="146" spans="1:8" ht="15.75" customHeight="1">
      <c r="A146" s="4">
        <v>145</v>
      </c>
      <c r="B146" s="3">
        <v>21695</v>
      </c>
      <c r="C146" s="4">
        <v>37</v>
      </c>
      <c r="D146" s="15"/>
      <c r="E146" s="8"/>
      <c r="F146" s="8"/>
      <c r="G146" s="8"/>
      <c r="H146" s="5"/>
    </row>
    <row r="147" spans="1:8" ht="15.75" customHeight="1">
      <c r="A147" s="4">
        <v>146</v>
      </c>
      <c r="B147" s="3">
        <v>21696</v>
      </c>
      <c r="C147" s="4">
        <v>43</v>
      </c>
      <c r="D147" s="15"/>
      <c r="E147" s="8"/>
      <c r="F147" s="8"/>
      <c r="G147" s="8"/>
      <c r="H147" s="5"/>
    </row>
    <row r="148" spans="1:8" ht="15.75" customHeight="1">
      <c r="A148" s="4">
        <v>147</v>
      </c>
      <c r="B148" s="3">
        <v>21697</v>
      </c>
      <c r="C148" s="4">
        <v>39</v>
      </c>
      <c r="D148" s="15"/>
      <c r="E148" s="8"/>
      <c r="F148" s="8"/>
      <c r="G148" s="8"/>
      <c r="H148" s="5"/>
    </row>
    <row r="149" spans="1:8" ht="15.75" customHeight="1">
      <c r="A149" s="4">
        <v>148</v>
      </c>
      <c r="B149" s="3">
        <v>21698</v>
      </c>
      <c r="C149" s="4">
        <v>33</v>
      </c>
      <c r="D149" s="15"/>
      <c r="E149" s="8"/>
      <c r="F149" s="8"/>
      <c r="G149" s="8"/>
      <c r="H149" s="5"/>
    </row>
    <row r="150" spans="1:8" ht="15.75" customHeight="1">
      <c r="A150" s="4">
        <v>149</v>
      </c>
      <c r="B150" s="3">
        <v>21699</v>
      </c>
      <c r="C150" s="4">
        <v>43</v>
      </c>
      <c r="D150" s="15"/>
      <c r="E150" s="8"/>
      <c r="F150" s="8"/>
      <c r="G150" s="8"/>
      <c r="H150" s="5"/>
    </row>
    <row r="151" spans="1:8" ht="15.75" customHeight="1">
      <c r="A151" s="4">
        <v>150</v>
      </c>
      <c r="B151" s="3">
        <v>21700</v>
      </c>
      <c r="C151" s="4">
        <v>40</v>
      </c>
      <c r="D151" s="15"/>
      <c r="E151" s="8"/>
      <c r="F151" s="8"/>
      <c r="G151" s="8"/>
      <c r="H151" s="5"/>
    </row>
    <row r="152" spans="1:8" ht="15.75" customHeight="1">
      <c r="A152" s="4">
        <v>151</v>
      </c>
      <c r="B152" s="3">
        <v>21701</v>
      </c>
      <c r="C152" s="4">
        <v>38</v>
      </c>
      <c r="D152" s="15"/>
      <c r="E152" s="8"/>
      <c r="F152" s="8"/>
      <c r="G152" s="8"/>
      <c r="H152" s="5"/>
    </row>
    <row r="153" spans="1:8" ht="15.75" customHeight="1">
      <c r="A153" s="4">
        <v>152</v>
      </c>
      <c r="B153" s="3">
        <v>21702</v>
      </c>
      <c r="C153" s="4">
        <v>45</v>
      </c>
      <c r="D153" s="15"/>
      <c r="E153" s="8"/>
      <c r="F153" s="8"/>
      <c r="G153" s="8"/>
      <c r="H153" s="5"/>
    </row>
    <row r="154" spans="1:8" ht="15.75" customHeight="1">
      <c r="A154" s="4">
        <v>153</v>
      </c>
      <c r="B154" s="3">
        <v>21703</v>
      </c>
      <c r="C154" s="4">
        <v>46</v>
      </c>
      <c r="D154" s="15"/>
      <c r="E154" s="8"/>
      <c r="F154" s="8"/>
      <c r="G154" s="8"/>
      <c r="H154" s="5"/>
    </row>
    <row r="155" spans="1:8" ht="15.75" customHeight="1">
      <c r="A155" s="4">
        <v>154</v>
      </c>
      <c r="B155" s="3">
        <v>21704</v>
      </c>
      <c r="C155" s="4">
        <v>34</v>
      </c>
      <c r="D155" s="15"/>
      <c r="E155" s="8"/>
      <c r="F155" s="8"/>
      <c r="G155" s="8"/>
      <c r="H155" s="5"/>
    </row>
    <row r="156" spans="1:8" ht="15.75" customHeight="1">
      <c r="A156" s="4">
        <v>155</v>
      </c>
      <c r="B156" s="3">
        <v>21705</v>
      </c>
      <c r="C156" s="4">
        <v>35</v>
      </c>
      <c r="D156" s="15"/>
      <c r="E156" s="8"/>
      <c r="F156" s="8"/>
      <c r="G156" s="8"/>
      <c r="H156" s="5"/>
    </row>
    <row r="157" spans="1:8" ht="15.75" customHeight="1">
      <c r="A157" s="4">
        <v>156</v>
      </c>
      <c r="B157" s="3">
        <v>21706</v>
      </c>
      <c r="C157" s="4">
        <v>48</v>
      </c>
      <c r="D157" s="15"/>
      <c r="E157" s="8"/>
      <c r="F157" s="8"/>
      <c r="G157" s="8"/>
      <c r="H157" s="5"/>
    </row>
    <row r="158" spans="1:8" ht="15.75" customHeight="1">
      <c r="A158" s="4">
        <v>157</v>
      </c>
      <c r="B158" s="3">
        <v>21707</v>
      </c>
      <c r="C158" s="4">
        <v>51</v>
      </c>
      <c r="D158" s="15"/>
      <c r="E158" s="8"/>
      <c r="F158" s="8"/>
      <c r="G158" s="8"/>
      <c r="H158" s="5"/>
    </row>
    <row r="159" spans="1:8" ht="15.75" customHeight="1">
      <c r="A159" s="4">
        <v>158</v>
      </c>
      <c r="B159" s="3">
        <v>21708</v>
      </c>
      <c r="C159" s="4">
        <v>36</v>
      </c>
      <c r="D159" s="15"/>
      <c r="E159" s="8"/>
      <c r="F159" s="8"/>
      <c r="G159" s="8"/>
      <c r="H159" s="5"/>
    </row>
    <row r="160" spans="1:8" ht="15.75" customHeight="1">
      <c r="A160" s="4">
        <v>159</v>
      </c>
      <c r="B160" s="3">
        <v>21709</v>
      </c>
      <c r="C160" s="4">
        <v>33</v>
      </c>
      <c r="D160" s="15"/>
      <c r="E160" s="8"/>
      <c r="F160" s="8"/>
      <c r="G160" s="8"/>
      <c r="H160" s="5"/>
    </row>
    <row r="161" spans="1:8" ht="15.75" customHeight="1">
      <c r="A161" s="4">
        <v>160</v>
      </c>
      <c r="B161" s="3">
        <v>21710</v>
      </c>
      <c r="C161" s="4">
        <v>46</v>
      </c>
      <c r="D161" s="15"/>
      <c r="E161" s="8"/>
      <c r="F161" s="8"/>
      <c r="G161" s="8"/>
      <c r="H161" s="5"/>
    </row>
    <row r="162" spans="1:8" ht="15.75" customHeight="1">
      <c r="A162" s="4">
        <v>161</v>
      </c>
      <c r="B162" s="3">
        <v>21711</v>
      </c>
      <c r="C162" s="4">
        <v>42</v>
      </c>
      <c r="D162" s="15"/>
      <c r="E162" s="8"/>
      <c r="F162" s="8"/>
      <c r="G162" s="8"/>
      <c r="H162" s="5"/>
    </row>
    <row r="163" spans="1:8" ht="15.75" customHeight="1">
      <c r="A163" s="4">
        <v>162</v>
      </c>
      <c r="B163" s="3">
        <v>21712</v>
      </c>
      <c r="C163" s="4">
        <v>48</v>
      </c>
      <c r="D163" s="15"/>
      <c r="E163" s="8"/>
      <c r="F163" s="8"/>
      <c r="G163" s="8"/>
      <c r="H163" s="5"/>
    </row>
    <row r="164" spans="1:8" ht="15.75" customHeight="1">
      <c r="A164" s="4">
        <v>163</v>
      </c>
      <c r="B164" s="3">
        <v>21713</v>
      </c>
      <c r="C164" s="4">
        <v>34</v>
      </c>
      <c r="D164" s="15"/>
      <c r="E164" s="8"/>
      <c r="F164" s="8"/>
      <c r="G164" s="8"/>
      <c r="H164" s="5"/>
    </row>
    <row r="165" spans="1:8" ht="15.75" customHeight="1">
      <c r="A165" s="4">
        <v>164</v>
      </c>
      <c r="B165" s="3">
        <v>21714</v>
      </c>
      <c r="C165" s="4">
        <v>41</v>
      </c>
      <c r="D165" s="15"/>
      <c r="E165" s="8"/>
      <c r="F165" s="8"/>
      <c r="G165" s="8"/>
      <c r="H165" s="5"/>
    </row>
    <row r="166" spans="1:8" ht="15.75" customHeight="1">
      <c r="A166" s="4">
        <v>165</v>
      </c>
      <c r="B166" s="3">
        <v>21715</v>
      </c>
      <c r="C166" s="4">
        <v>35</v>
      </c>
      <c r="D166" s="15"/>
      <c r="E166" s="8"/>
      <c r="F166" s="8"/>
      <c r="G166" s="8"/>
      <c r="H166" s="5"/>
    </row>
    <row r="167" spans="1:8" ht="15.75" customHeight="1">
      <c r="A167" s="4">
        <v>166</v>
      </c>
      <c r="B167" s="3">
        <v>21716</v>
      </c>
      <c r="C167" s="4">
        <v>40</v>
      </c>
      <c r="D167" s="15"/>
      <c r="E167" s="8"/>
      <c r="F167" s="8"/>
      <c r="G167" s="8"/>
      <c r="H167" s="5"/>
    </row>
    <row r="168" spans="1:8" ht="15.75" customHeight="1">
      <c r="A168" s="4">
        <v>167</v>
      </c>
      <c r="B168" s="3">
        <v>21717</v>
      </c>
      <c r="C168" s="4">
        <v>34</v>
      </c>
      <c r="D168" s="15"/>
      <c r="E168" s="8"/>
      <c r="F168" s="8"/>
      <c r="G168" s="8"/>
      <c r="H168" s="5"/>
    </row>
    <row r="169" spans="1:8" ht="15.75" customHeight="1">
      <c r="A169" s="4">
        <v>168</v>
      </c>
      <c r="B169" s="3">
        <v>21718</v>
      </c>
      <c r="C169" s="4">
        <v>30</v>
      </c>
      <c r="D169" s="15"/>
      <c r="E169" s="8"/>
      <c r="F169" s="8"/>
      <c r="G169" s="8"/>
      <c r="H169" s="5"/>
    </row>
    <row r="170" spans="1:8" ht="15.75" customHeight="1">
      <c r="A170" s="4">
        <v>169</v>
      </c>
      <c r="B170" s="3">
        <v>21719</v>
      </c>
      <c r="C170" s="4">
        <v>36</v>
      </c>
      <c r="D170" s="15"/>
      <c r="E170" s="8"/>
      <c r="F170" s="8"/>
      <c r="G170" s="8"/>
      <c r="H170" s="5"/>
    </row>
    <row r="171" spans="1:8" ht="15.75" customHeight="1">
      <c r="A171" s="4">
        <v>170</v>
      </c>
      <c r="B171" s="3">
        <v>21720</v>
      </c>
      <c r="C171" s="4">
        <v>40</v>
      </c>
      <c r="D171" s="15"/>
      <c r="E171" s="8"/>
      <c r="F171" s="8"/>
      <c r="G171" s="8"/>
      <c r="H171" s="5"/>
    </row>
    <row r="172" spans="1:8" ht="15.75" customHeight="1">
      <c r="A172" s="4">
        <v>171</v>
      </c>
      <c r="B172" s="3">
        <v>21721</v>
      </c>
      <c r="C172" s="4">
        <v>39</v>
      </c>
      <c r="D172" s="15"/>
      <c r="E172" s="8"/>
      <c r="F172" s="8"/>
      <c r="G172" s="8"/>
      <c r="H172" s="5"/>
    </row>
    <row r="173" spans="1:8" ht="15.75" customHeight="1">
      <c r="A173" s="4">
        <v>172</v>
      </c>
      <c r="B173" s="3">
        <v>21722</v>
      </c>
      <c r="C173" s="4">
        <v>45</v>
      </c>
      <c r="D173" s="15"/>
      <c r="E173" s="8"/>
      <c r="F173" s="8"/>
      <c r="G173" s="8"/>
      <c r="H173" s="5"/>
    </row>
    <row r="174" spans="1:8" ht="15.75" customHeight="1">
      <c r="A174" s="4">
        <v>173</v>
      </c>
      <c r="B174" s="3">
        <v>21723</v>
      </c>
      <c r="C174" s="4">
        <v>38</v>
      </c>
      <c r="D174" s="15"/>
      <c r="E174" s="8"/>
      <c r="F174" s="8"/>
      <c r="G174" s="8"/>
      <c r="H174" s="5"/>
    </row>
    <row r="175" spans="1:8" ht="15.75" customHeight="1">
      <c r="A175" s="4">
        <v>174</v>
      </c>
      <c r="B175" s="3">
        <v>21724</v>
      </c>
      <c r="C175" s="4">
        <v>47</v>
      </c>
      <c r="D175" s="15"/>
      <c r="E175" s="8"/>
      <c r="F175" s="8"/>
      <c r="G175" s="8"/>
      <c r="H175" s="5"/>
    </row>
    <row r="176" spans="1:8" ht="15.75" customHeight="1">
      <c r="A176" s="4">
        <v>175</v>
      </c>
      <c r="B176" s="3">
        <v>21725</v>
      </c>
      <c r="C176" s="4">
        <v>33</v>
      </c>
      <c r="D176" s="15"/>
      <c r="E176" s="8"/>
      <c r="F176" s="8"/>
      <c r="G176" s="8"/>
      <c r="H176" s="5"/>
    </row>
    <row r="177" spans="1:8" ht="15.75" customHeight="1">
      <c r="A177" s="4">
        <v>176</v>
      </c>
      <c r="B177" s="3">
        <v>21726</v>
      </c>
      <c r="C177" s="4">
        <v>30</v>
      </c>
      <c r="D177" s="15"/>
      <c r="E177" s="8"/>
      <c r="F177" s="8"/>
      <c r="G177" s="8"/>
      <c r="H177" s="5"/>
    </row>
    <row r="178" spans="1:8" ht="15.75" customHeight="1">
      <c r="A178" s="4">
        <v>177</v>
      </c>
      <c r="B178" s="3">
        <v>21727</v>
      </c>
      <c r="C178" s="4">
        <v>42</v>
      </c>
      <c r="D178" s="15"/>
      <c r="E178" s="8"/>
      <c r="F178" s="8"/>
      <c r="G178" s="8"/>
      <c r="H178" s="5"/>
    </row>
    <row r="179" spans="1:8" ht="15.75" customHeight="1">
      <c r="A179" s="4">
        <v>178</v>
      </c>
      <c r="B179" s="3">
        <v>21728</v>
      </c>
      <c r="C179" s="4">
        <v>43</v>
      </c>
      <c r="D179" s="15"/>
      <c r="E179" s="8"/>
      <c r="F179" s="8"/>
      <c r="G179" s="8"/>
      <c r="H179" s="5"/>
    </row>
    <row r="180" spans="1:8" ht="15.75" customHeight="1">
      <c r="A180" s="4">
        <v>179</v>
      </c>
      <c r="B180" s="3">
        <v>21729</v>
      </c>
      <c r="C180" s="4">
        <v>41</v>
      </c>
      <c r="D180" s="15"/>
      <c r="E180" s="8"/>
      <c r="F180" s="8"/>
      <c r="G180" s="8"/>
      <c r="H180" s="5"/>
    </row>
    <row r="181" spans="1:8" ht="15.75" customHeight="1">
      <c r="A181" s="4">
        <v>180</v>
      </c>
      <c r="B181" s="3">
        <v>21730</v>
      </c>
      <c r="C181" s="4">
        <v>41</v>
      </c>
      <c r="D181" s="15"/>
      <c r="E181" s="8"/>
      <c r="F181" s="8"/>
      <c r="G181" s="8"/>
      <c r="H181" s="5"/>
    </row>
    <row r="182" spans="1:8" ht="15.75" customHeight="1">
      <c r="A182" s="4">
        <v>181</v>
      </c>
      <c r="B182" s="3">
        <v>21731</v>
      </c>
      <c r="C182" s="4">
        <v>59</v>
      </c>
      <c r="D182" s="15"/>
      <c r="E182" s="8"/>
      <c r="F182" s="8"/>
      <c r="G182" s="8"/>
      <c r="H182" s="5"/>
    </row>
    <row r="183" spans="1:8" ht="15.75" customHeight="1">
      <c r="A183" s="4">
        <v>182</v>
      </c>
      <c r="B183" s="3">
        <v>21732</v>
      </c>
      <c r="C183" s="4">
        <v>43</v>
      </c>
      <c r="D183" s="15"/>
      <c r="E183" s="8"/>
      <c r="F183" s="8"/>
      <c r="G183" s="8"/>
      <c r="H183" s="5"/>
    </row>
    <row r="184" spans="1:8" ht="15.75" customHeight="1">
      <c r="A184" s="4">
        <v>183</v>
      </c>
      <c r="B184" s="3">
        <v>21733</v>
      </c>
      <c r="C184" s="4">
        <v>45</v>
      </c>
      <c r="D184" s="15"/>
      <c r="E184" s="8"/>
      <c r="F184" s="8"/>
      <c r="G184" s="8"/>
      <c r="H184" s="5"/>
    </row>
    <row r="185" spans="1:8" ht="15.75" customHeight="1">
      <c r="A185" s="4">
        <v>184</v>
      </c>
      <c r="B185" s="3">
        <v>21734</v>
      </c>
      <c r="C185" s="4">
        <v>38</v>
      </c>
      <c r="D185" s="15"/>
      <c r="E185" s="8"/>
      <c r="F185" s="8"/>
      <c r="G185" s="8"/>
      <c r="H185" s="5"/>
    </row>
    <row r="186" spans="1:8" ht="15.75" customHeight="1">
      <c r="A186" s="4">
        <v>185</v>
      </c>
      <c r="B186" s="3">
        <v>21735</v>
      </c>
      <c r="C186" s="4">
        <v>37</v>
      </c>
      <c r="D186" s="15"/>
      <c r="E186" s="8"/>
      <c r="F186" s="8"/>
      <c r="G186" s="8"/>
      <c r="H186" s="5"/>
    </row>
    <row r="187" spans="1:8" ht="15.75" customHeight="1">
      <c r="A187" s="4">
        <v>186</v>
      </c>
      <c r="B187" s="3">
        <v>21736</v>
      </c>
      <c r="C187" s="4">
        <v>45</v>
      </c>
      <c r="D187" s="15"/>
      <c r="E187" s="8"/>
      <c r="F187" s="8"/>
      <c r="G187" s="8"/>
      <c r="H187" s="5"/>
    </row>
    <row r="188" spans="1:8" ht="15.75" customHeight="1">
      <c r="A188" s="4">
        <v>187</v>
      </c>
      <c r="B188" s="3">
        <v>21737</v>
      </c>
      <c r="C188" s="4">
        <v>42</v>
      </c>
      <c r="D188" s="15"/>
      <c r="E188" s="8"/>
      <c r="F188" s="8"/>
      <c r="G188" s="8"/>
      <c r="H188" s="5"/>
    </row>
    <row r="189" spans="1:8" ht="15.75" customHeight="1">
      <c r="A189" s="4">
        <v>188</v>
      </c>
      <c r="B189" s="3">
        <v>21738</v>
      </c>
      <c r="C189" s="4">
        <v>57</v>
      </c>
      <c r="D189" s="15"/>
      <c r="E189" s="8"/>
      <c r="F189" s="8"/>
      <c r="G189" s="8"/>
      <c r="H189" s="5"/>
    </row>
    <row r="190" spans="1:8" ht="15.75" customHeight="1">
      <c r="A190" s="4">
        <v>189</v>
      </c>
      <c r="B190" s="3">
        <v>21739</v>
      </c>
      <c r="C190" s="4">
        <v>46</v>
      </c>
      <c r="D190" s="15"/>
      <c r="E190" s="8"/>
      <c r="F190" s="8"/>
      <c r="G190" s="8"/>
      <c r="H190" s="5"/>
    </row>
    <row r="191" spans="1:8" ht="15.75" customHeight="1">
      <c r="A191" s="4">
        <v>190</v>
      </c>
      <c r="B191" s="3">
        <v>21740</v>
      </c>
      <c r="C191" s="4">
        <v>51</v>
      </c>
      <c r="D191" s="15"/>
      <c r="E191" s="8"/>
      <c r="F191" s="8"/>
      <c r="G191" s="8"/>
      <c r="H191" s="5"/>
    </row>
    <row r="192" spans="1:8" ht="15.75" customHeight="1">
      <c r="A192" s="4">
        <v>191</v>
      </c>
      <c r="B192" s="3">
        <v>21741</v>
      </c>
      <c r="C192" s="4">
        <v>41</v>
      </c>
      <c r="D192" s="15"/>
      <c r="E192" s="8"/>
      <c r="F192" s="8"/>
      <c r="G192" s="8"/>
      <c r="H192" s="5"/>
    </row>
    <row r="193" spans="1:8" ht="15.75" customHeight="1">
      <c r="A193" s="4">
        <v>192</v>
      </c>
      <c r="B193" s="3">
        <v>21742</v>
      </c>
      <c r="C193" s="4">
        <v>47</v>
      </c>
      <c r="D193" s="15"/>
      <c r="E193" s="8"/>
      <c r="F193" s="8"/>
      <c r="G193" s="8"/>
      <c r="H193" s="5"/>
    </row>
    <row r="194" spans="1:8" ht="15.75" customHeight="1">
      <c r="A194" s="4">
        <v>193</v>
      </c>
      <c r="B194" s="3">
        <v>21743</v>
      </c>
      <c r="C194" s="4">
        <v>26</v>
      </c>
      <c r="D194" s="15"/>
      <c r="E194" s="8"/>
      <c r="F194" s="8"/>
      <c r="G194" s="8"/>
      <c r="H194" s="5"/>
    </row>
    <row r="195" spans="1:8" ht="15.75" customHeight="1">
      <c r="A195" s="4">
        <v>194</v>
      </c>
      <c r="B195" s="3">
        <v>21744</v>
      </c>
      <c r="C195" s="4">
        <v>35</v>
      </c>
      <c r="D195" s="15"/>
      <c r="E195" s="8"/>
      <c r="F195" s="8"/>
      <c r="G195" s="8"/>
      <c r="H195" s="5"/>
    </row>
    <row r="196" spans="1:8" ht="15.75" customHeight="1">
      <c r="A196" s="4">
        <v>195</v>
      </c>
      <c r="B196" s="3">
        <v>21745</v>
      </c>
      <c r="C196" s="4">
        <v>44</v>
      </c>
      <c r="D196" s="15"/>
      <c r="E196" s="8"/>
      <c r="F196" s="8"/>
      <c r="G196" s="8"/>
      <c r="H196" s="5"/>
    </row>
    <row r="197" spans="1:8" ht="15.75" customHeight="1">
      <c r="A197" s="4">
        <v>196</v>
      </c>
      <c r="B197" s="3">
        <v>21746</v>
      </c>
      <c r="C197" s="4">
        <v>41</v>
      </c>
      <c r="D197" s="15"/>
      <c r="E197" s="8"/>
      <c r="F197" s="8"/>
      <c r="G197" s="8"/>
      <c r="H197" s="5"/>
    </row>
    <row r="198" spans="1:8" ht="15.75" customHeight="1">
      <c r="A198" s="4">
        <v>197</v>
      </c>
      <c r="B198" s="3">
        <v>21747</v>
      </c>
      <c r="C198" s="4">
        <v>42</v>
      </c>
      <c r="D198" s="15"/>
      <c r="E198" s="8"/>
      <c r="F198" s="8"/>
      <c r="G198" s="8"/>
      <c r="H198" s="5"/>
    </row>
    <row r="199" spans="1:8" ht="15.75" customHeight="1">
      <c r="A199" s="4">
        <v>198</v>
      </c>
      <c r="B199" s="3">
        <v>21748</v>
      </c>
      <c r="C199" s="4">
        <v>36</v>
      </c>
      <c r="D199" s="15"/>
      <c r="E199" s="8"/>
      <c r="F199" s="8"/>
      <c r="G199" s="8"/>
      <c r="H199" s="5"/>
    </row>
    <row r="200" spans="1:8" ht="15.75" customHeight="1">
      <c r="A200" s="4">
        <v>199</v>
      </c>
      <c r="B200" s="3">
        <v>21749</v>
      </c>
      <c r="C200" s="4">
        <v>45</v>
      </c>
      <c r="D200" s="15"/>
      <c r="E200" s="8"/>
      <c r="F200" s="8"/>
      <c r="G200" s="8"/>
      <c r="H200" s="5"/>
    </row>
    <row r="201" spans="1:8" ht="15.75" customHeight="1">
      <c r="A201" s="4">
        <v>200</v>
      </c>
      <c r="B201" s="3">
        <v>21750</v>
      </c>
      <c r="C201" s="4">
        <v>45</v>
      </c>
      <c r="D201" s="15"/>
      <c r="E201" s="8"/>
      <c r="F201" s="8"/>
      <c r="G201" s="8"/>
      <c r="H201" s="5"/>
    </row>
    <row r="202" spans="1:8" ht="15.75" customHeight="1">
      <c r="A202" s="4">
        <v>201</v>
      </c>
      <c r="B202" s="3">
        <v>21751</v>
      </c>
      <c r="C202" s="4">
        <v>45</v>
      </c>
      <c r="D202" s="15"/>
      <c r="E202" s="8"/>
      <c r="F202" s="8"/>
      <c r="G202" s="8"/>
      <c r="H202" s="5"/>
    </row>
    <row r="203" spans="1:8" ht="15.75" customHeight="1">
      <c r="A203" s="4">
        <v>202</v>
      </c>
      <c r="B203" s="3">
        <v>21752</v>
      </c>
      <c r="C203" s="4">
        <v>47</v>
      </c>
      <c r="D203" s="15"/>
      <c r="E203" s="8"/>
      <c r="F203" s="8"/>
      <c r="G203" s="8"/>
      <c r="H203" s="5"/>
    </row>
    <row r="204" spans="1:8" ht="15.75" customHeight="1">
      <c r="A204" s="4">
        <v>203</v>
      </c>
      <c r="B204" s="3">
        <v>21753</v>
      </c>
      <c r="C204" s="4">
        <v>38</v>
      </c>
      <c r="D204" s="15"/>
      <c r="E204" s="8"/>
      <c r="F204" s="8"/>
      <c r="G204" s="8"/>
      <c r="H204" s="5"/>
    </row>
    <row r="205" spans="1:8" ht="15.75" customHeight="1">
      <c r="A205" s="4">
        <v>204</v>
      </c>
      <c r="B205" s="3">
        <v>21754</v>
      </c>
      <c r="C205" s="4">
        <v>42</v>
      </c>
      <c r="D205" s="15"/>
      <c r="E205" s="8"/>
      <c r="F205" s="8"/>
      <c r="G205" s="8"/>
      <c r="H205" s="5"/>
    </row>
    <row r="206" spans="1:8" ht="15.75" customHeight="1">
      <c r="A206" s="4">
        <v>205</v>
      </c>
      <c r="B206" s="3">
        <v>21755</v>
      </c>
      <c r="C206" s="4">
        <v>35</v>
      </c>
      <c r="D206" s="15"/>
      <c r="E206" s="8"/>
      <c r="F206" s="8"/>
      <c r="G206" s="8"/>
      <c r="H206" s="5"/>
    </row>
    <row r="207" spans="1:8" ht="15.75" customHeight="1">
      <c r="A207" s="4">
        <v>206</v>
      </c>
      <c r="B207" s="3">
        <v>21756</v>
      </c>
      <c r="C207" s="4">
        <v>36</v>
      </c>
      <c r="D207" s="15"/>
      <c r="E207" s="8"/>
      <c r="F207" s="8"/>
      <c r="G207" s="8"/>
      <c r="H207" s="5"/>
    </row>
    <row r="208" spans="1:8" ht="15.75" customHeight="1">
      <c r="A208" s="4">
        <v>207</v>
      </c>
      <c r="B208" s="3">
        <v>21757</v>
      </c>
      <c r="C208" s="4">
        <v>39</v>
      </c>
      <c r="D208" s="15"/>
      <c r="E208" s="8"/>
      <c r="F208" s="8"/>
      <c r="G208" s="8"/>
      <c r="H208" s="5"/>
    </row>
    <row r="209" spans="1:8" ht="15.75" customHeight="1">
      <c r="A209" s="4">
        <v>208</v>
      </c>
      <c r="B209" s="3">
        <v>21758</v>
      </c>
      <c r="C209" s="4">
        <v>45</v>
      </c>
      <c r="D209" s="15"/>
      <c r="E209" s="8"/>
      <c r="F209" s="8"/>
      <c r="G209" s="8"/>
      <c r="H209" s="5"/>
    </row>
    <row r="210" spans="1:8" ht="15.75" customHeight="1">
      <c r="A210" s="4">
        <v>209</v>
      </c>
      <c r="B210" s="3">
        <v>21759</v>
      </c>
      <c r="C210" s="4">
        <v>43</v>
      </c>
      <c r="D210" s="15"/>
      <c r="E210" s="8"/>
      <c r="F210" s="8"/>
      <c r="G210" s="8"/>
      <c r="H210" s="5"/>
    </row>
    <row r="211" spans="1:8" ht="15.75" customHeight="1">
      <c r="A211" s="4">
        <v>210</v>
      </c>
      <c r="B211" s="3">
        <v>21760</v>
      </c>
      <c r="C211" s="4">
        <v>47</v>
      </c>
      <c r="D211" s="15"/>
      <c r="E211" s="8"/>
      <c r="F211" s="8"/>
      <c r="G211" s="8"/>
      <c r="H211" s="5"/>
    </row>
    <row r="212" spans="1:8" ht="15.75" customHeight="1">
      <c r="A212" s="4">
        <v>211</v>
      </c>
      <c r="B212" s="3">
        <v>21761</v>
      </c>
      <c r="C212" s="4">
        <v>36</v>
      </c>
      <c r="D212" s="15"/>
      <c r="E212" s="8"/>
      <c r="F212" s="8"/>
      <c r="G212" s="8"/>
      <c r="H212" s="5"/>
    </row>
    <row r="213" spans="1:8" ht="15.75" customHeight="1">
      <c r="A213" s="4">
        <v>212</v>
      </c>
      <c r="B213" s="3">
        <v>21762</v>
      </c>
      <c r="C213" s="4">
        <v>41</v>
      </c>
      <c r="D213" s="15"/>
      <c r="E213" s="8"/>
      <c r="F213" s="8"/>
      <c r="G213" s="8"/>
      <c r="H213" s="5"/>
    </row>
    <row r="214" spans="1:8" ht="15.75" customHeight="1">
      <c r="A214" s="4">
        <v>213</v>
      </c>
      <c r="B214" s="3">
        <v>21763</v>
      </c>
      <c r="C214" s="4">
        <v>50</v>
      </c>
      <c r="D214" s="15"/>
      <c r="E214" s="8"/>
      <c r="F214" s="8"/>
      <c r="G214" s="8"/>
      <c r="H214" s="5"/>
    </row>
    <row r="215" spans="1:8" ht="15.75" customHeight="1">
      <c r="A215" s="4">
        <v>214</v>
      </c>
      <c r="B215" s="3">
        <v>21764</v>
      </c>
      <c r="C215" s="4">
        <v>39</v>
      </c>
      <c r="D215" s="15"/>
      <c r="E215" s="8"/>
      <c r="F215" s="8"/>
      <c r="G215" s="8"/>
      <c r="H215" s="5"/>
    </row>
    <row r="216" spans="1:8" ht="15.75" customHeight="1">
      <c r="A216" s="4">
        <v>215</v>
      </c>
      <c r="B216" s="3">
        <v>21765</v>
      </c>
      <c r="C216" s="4">
        <v>41</v>
      </c>
      <c r="D216" s="15"/>
      <c r="E216" s="8"/>
      <c r="F216" s="8"/>
      <c r="G216" s="8"/>
      <c r="H216" s="5"/>
    </row>
    <row r="217" spans="1:8" ht="15.75" customHeight="1">
      <c r="A217" s="4">
        <v>216</v>
      </c>
      <c r="B217" s="3">
        <v>21766</v>
      </c>
      <c r="C217" s="4">
        <v>46</v>
      </c>
      <c r="D217" s="15"/>
      <c r="E217" s="8"/>
      <c r="F217" s="8"/>
      <c r="G217" s="8"/>
      <c r="H217" s="5"/>
    </row>
    <row r="218" spans="1:8" ht="15.75" customHeight="1">
      <c r="A218" s="4">
        <v>217</v>
      </c>
      <c r="B218" s="3">
        <v>21767</v>
      </c>
      <c r="C218" s="4">
        <v>64</v>
      </c>
      <c r="D218" s="15"/>
      <c r="E218" s="8"/>
      <c r="F218" s="8"/>
      <c r="G218" s="8"/>
      <c r="H218" s="5"/>
    </row>
    <row r="219" spans="1:8" ht="15.75" customHeight="1">
      <c r="A219" s="4">
        <v>218</v>
      </c>
      <c r="B219" s="3">
        <v>21768</v>
      </c>
      <c r="C219" s="4">
        <v>45</v>
      </c>
      <c r="D219" s="15"/>
      <c r="E219" s="8"/>
      <c r="F219" s="8"/>
      <c r="G219" s="8"/>
      <c r="H219" s="5"/>
    </row>
    <row r="220" spans="1:8" ht="15.75" customHeight="1">
      <c r="A220" s="4">
        <v>219</v>
      </c>
      <c r="B220" s="3">
        <v>21769</v>
      </c>
      <c r="C220" s="4">
        <v>34</v>
      </c>
      <c r="D220" s="15"/>
      <c r="E220" s="8"/>
      <c r="F220" s="8"/>
      <c r="G220" s="8"/>
      <c r="H220" s="5"/>
    </row>
    <row r="221" spans="1:8" ht="15.75" customHeight="1">
      <c r="A221" s="4">
        <v>220</v>
      </c>
      <c r="B221" s="3">
        <v>21770</v>
      </c>
      <c r="C221" s="4">
        <v>38</v>
      </c>
      <c r="D221" s="15"/>
      <c r="E221" s="8"/>
      <c r="F221" s="8"/>
      <c r="G221" s="8"/>
      <c r="H221" s="5"/>
    </row>
    <row r="222" spans="1:8" ht="15.75" customHeight="1">
      <c r="A222" s="4">
        <v>221</v>
      </c>
      <c r="B222" s="3">
        <v>21771</v>
      </c>
      <c r="C222" s="4">
        <v>44</v>
      </c>
      <c r="D222" s="15"/>
      <c r="E222" s="8"/>
      <c r="F222" s="8"/>
      <c r="G222" s="8"/>
      <c r="H222" s="5"/>
    </row>
    <row r="223" spans="1:8" ht="15.75" customHeight="1">
      <c r="A223" s="4">
        <v>222</v>
      </c>
      <c r="B223" s="3">
        <v>21772</v>
      </c>
      <c r="C223" s="4">
        <v>48</v>
      </c>
      <c r="D223" s="15"/>
      <c r="E223" s="8"/>
      <c r="F223" s="8"/>
      <c r="G223" s="8"/>
      <c r="H223" s="5"/>
    </row>
    <row r="224" spans="1:8" ht="15.75" customHeight="1">
      <c r="A224" s="4">
        <v>223</v>
      </c>
      <c r="B224" s="3">
        <v>21773</v>
      </c>
      <c r="C224" s="4">
        <v>46</v>
      </c>
      <c r="D224" s="15"/>
      <c r="E224" s="8"/>
      <c r="F224" s="8"/>
      <c r="G224" s="8"/>
      <c r="H224" s="5"/>
    </row>
    <row r="225" spans="1:8" ht="15.75" customHeight="1">
      <c r="A225" s="4">
        <v>224</v>
      </c>
      <c r="B225" s="3">
        <v>21774</v>
      </c>
      <c r="C225" s="4">
        <v>44</v>
      </c>
      <c r="D225" s="15"/>
      <c r="E225" s="8"/>
      <c r="F225" s="8"/>
      <c r="G225" s="8"/>
      <c r="H225" s="5"/>
    </row>
    <row r="226" spans="1:8" ht="15.75" customHeight="1">
      <c r="A226" s="4">
        <v>225</v>
      </c>
      <c r="B226" s="3">
        <v>21775</v>
      </c>
      <c r="C226" s="4">
        <v>37</v>
      </c>
      <c r="D226" s="15"/>
      <c r="E226" s="8"/>
      <c r="F226" s="8"/>
      <c r="G226" s="8"/>
      <c r="H226" s="5"/>
    </row>
    <row r="227" spans="1:8" ht="15.75" customHeight="1">
      <c r="A227" s="4">
        <v>226</v>
      </c>
      <c r="B227" s="3">
        <v>21776</v>
      </c>
      <c r="C227" s="4">
        <v>39</v>
      </c>
      <c r="D227" s="15"/>
      <c r="E227" s="8"/>
      <c r="F227" s="8"/>
      <c r="G227" s="8"/>
      <c r="H227" s="5"/>
    </row>
    <row r="228" spans="1:8" ht="15.75" customHeight="1">
      <c r="A228" s="4">
        <v>227</v>
      </c>
      <c r="B228" s="3">
        <v>21777</v>
      </c>
      <c r="C228" s="4">
        <v>44</v>
      </c>
      <c r="D228" s="15"/>
      <c r="E228" s="8"/>
      <c r="F228" s="8"/>
      <c r="G228" s="8"/>
      <c r="H228" s="5"/>
    </row>
    <row r="229" spans="1:8" ht="15.75" customHeight="1">
      <c r="A229" s="4">
        <v>228</v>
      </c>
      <c r="B229" s="3">
        <v>21778</v>
      </c>
      <c r="C229" s="4">
        <v>45</v>
      </c>
      <c r="D229" s="15"/>
      <c r="E229" s="8"/>
      <c r="F229" s="8"/>
      <c r="G229" s="8"/>
      <c r="H229" s="5"/>
    </row>
    <row r="230" spans="1:8" ht="15.75" customHeight="1">
      <c r="A230" s="4">
        <v>229</v>
      </c>
      <c r="B230" s="3">
        <v>21779</v>
      </c>
      <c r="C230" s="4">
        <v>33</v>
      </c>
      <c r="D230" s="15"/>
      <c r="E230" s="8"/>
      <c r="F230" s="8"/>
      <c r="G230" s="8"/>
      <c r="H230" s="5"/>
    </row>
    <row r="231" spans="1:8" ht="15.75" customHeight="1">
      <c r="A231" s="4">
        <v>230</v>
      </c>
      <c r="B231" s="3">
        <v>21780</v>
      </c>
      <c r="C231" s="4">
        <v>44</v>
      </c>
      <c r="D231" s="15"/>
      <c r="E231" s="8"/>
      <c r="F231" s="8"/>
      <c r="G231" s="8"/>
      <c r="H231" s="5"/>
    </row>
    <row r="232" spans="1:8" ht="15.75" customHeight="1">
      <c r="A232" s="4">
        <v>231</v>
      </c>
      <c r="B232" s="3">
        <v>21781</v>
      </c>
      <c r="C232" s="4">
        <v>38</v>
      </c>
      <c r="D232" s="15"/>
      <c r="E232" s="8"/>
      <c r="F232" s="8"/>
      <c r="G232" s="8"/>
      <c r="H232" s="5"/>
    </row>
    <row r="233" spans="1:8" ht="15.75" customHeight="1">
      <c r="A233" s="4">
        <v>232</v>
      </c>
      <c r="B233" s="3">
        <v>21782</v>
      </c>
      <c r="C233" s="4">
        <v>46</v>
      </c>
      <c r="D233" s="15"/>
      <c r="E233" s="8"/>
      <c r="F233" s="8"/>
      <c r="G233" s="8"/>
      <c r="H233" s="5"/>
    </row>
    <row r="234" spans="1:8" ht="15.75" customHeight="1">
      <c r="A234" s="4">
        <v>233</v>
      </c>
      <c r="B234" s="3">
        <v>21783</v>
      </c>
      <c r="C234" s="4">
        <v>46</v>
      </c>
      <c r="D234" s="15"/>
      <c r="E234" s="8"/>
      <c r="F234" s="8"/>
      <c r="G234" s="8"/>
      <c r="H234" s="5"/>
    </row>
    <row r="235" spans="1:8" ht="15.75" customHeight="1">
      <c r="A235" s="4">
        <v>234</v>
      </c>
      <c r="B235" s="3">
        <v>21784</v>
      </c>
      <c r="C235" s="4">
        <v>40</v>
      </c>
      <c r="D235" s="15"/>
      <c r="E235" s="8"/>
      <c r="F235" s="8"/>
      <c r="G235" s="8"/>
      <c r="H235" s="5"/>
    </row>
    <row r="236" spans="1:8" ht="15.75" customHeight="1">
      <c r="A236" s="4">
        <v>235</v>
      </c>
      <c r="B236" s="3">
        <v>21785</v>
      </c>
      <c r="C236" s="4">
        <v>39</v>
      </c>
      <c r="D236" s="15"/>
      <c r="E236" s="8"/>
      <c r="F236" s="8"/>
      <c r="G236" s="8"/>
      <c r="H236" s="5"/>
    </row>
    <row r="237" spans="1:8" ht="15.75" customHeight="1">
      <c r="A237" s="4">
        <v>236</v>
      </c>
      <c r="B237" s="3">
        <v>21786</v>
      </c>
      <c r="C237" s="4">
        <v>44</v>
      </c>
      <c r="D237" s="15"/>
      <c r="E237" s="8"/>
      <c r="F237" s="8"/>
      <c r="G237" s="8"/>
      <c r="H237" s="5"/>
    </row>
    <row r="238" spans="1:8" ht="15.75" customHeight="1">
      <c r="A238" s="4">
        <v>237</v>
      </c>
      <c r="B238" s="3">
        <v>21787</v>
      </c>
      <c r="C238" s="4">
        <v>48</v>
      </c>
      <c r="D238" s="15"/>
      <c r="E238" s="8"/>
      <c r="F238" s="8"/>
      <c r="G238" s="8"/>
      <c r="H238" s="5"/>
    </row>
    <row r="239" spans="1:8" ht="15.75" customHeight="1">
      <c r="A239" s="4">
        <v>238</v>
      </c>
      <c r="B239" s="3">
        <v>21788</v>
      </c>
      <c r="C239" s="4">
        <v>50</v>
      </c>
      <c r="D239" s="15"/>
      <c r="E239" s="8"/>
      <c r="F239" s="8"/>
      <c r="G239" s="8"/>
      <c r="H239" s="5"/>
    </row>
    <row r="240" spans="1:8" ht="15.75" customHeight="1">
      <c r="A240" s="4">
        <v>239</v>
      </c>
      <c r="B240" s="3">
        <v>21789</v>
      </c>
      <c r="C240" s="4">
        <v>41</v>
      </c>
      <c r="D240" s="15"/>
      <c r="E240" s="8"/>
      <c r="F240" s="8"/>
      <c r="G240" s="8"/>
      <c r="H240" s="5"/>
    </row>
    <row r="241" spans="1:8" ht="15.75" customHeight="1">
      <c r="A241" s="4">
        <v>240</v>
      </c>
      <c r="B241" s="3">
        <v>21790</v>
      </c>
      <c r="C241" s="4">
        <v>42</v>
      </c>
      <c r="D241" s="15"/>
      <c r="E241" s="8"/>
      <c r="F241" s="8"/>
      <c r="G241" s="8"/>
      <c r="H241" s="5"/>
    </row>
    <row r="242" spans="1:8" ht="15.75" customHeight="1">
      <c r="A242" s="4">
        <v>241</v>
      </c>
      <c r="B242" s="3">
        <v>21791</v>
      </c>
      <c r="C242" s="4">
        <v>51</v>
      </c>
      <c r="D242" s="15"/>
      <c r="E242" s="8"/>
      <c r="F242" s="8"/>
      <c r="G242" s="8"/>
      <c r="H242" s="5"/>
    </row>
    <row r="243" spans="1:8" ht="15.75" customHeight="1">
      <c r="A243" s="4">
        <v>242</v>
      </c>
      <c r="B243" s="3">
        <v>21792</v>
      </c>
      <c r="C243" s="4">
        <v>41</v>
      </c>
      <c r="D243" s="15"/>
      <c r="E243" s="8"/>
      <c r="F243" s="8"/>
      <c r="G243" s="8"/>
      <c r="H243" s="5"/>
    </row>
    <row r="244" spans="1:8" ht="15.75" customHeight="1">
      <c r="A244" s="4">
        <v>243</v>
      </c>
      <c r="B244" s="3">
        <v>21793</v>
      </c>
      <c r="C244" s="4">
        <v>44</v>
      </c>
      <c r="D244" s="15"/>
      <c r="E244" s="8"/>
      <c r="F244" s="8"/>
      <c r="G244" s="8"/>
      <c r="H244" s="5"/>
    </row>
    <row r="245" spans="1:8" ht="15.75" customHeight="1">
      <c r="A245" s="4">
        <v>244</v>
      </c>
      <c r="B245" s="3">
        <v>21794</v>
      </c>
      <c r="C245" s="4">
        <v>38</v>
      </c>
      <c r="D245" s="15"/>
      <c r="E245" s="8"/>
      <c r="F245" s="8"/>
      <c r="G245" s="8"/>
      <c r="H245" s="5"/>
    </row>
    <row r="246" spans="1:8" ht="15.75" customHeight="1">
      <c r="A246" s="4">
        <v>245</v>
      </c>
      <c r="B246" s="3">
        <v>21795</v>
      </c>
      <c r="C246" s="4">
        <v>68</v>
      </c>
      <c r="D246" s="15"/>
      <c r="E246" s="8"/>
      <c r="F246" s="8"/>
      <c r="G246" s="8"/>
      <c r="H246" s="5"/>
    </row>
    <row r="247" spans="1:8" ht="15.75" customHeight="1">
      <c r="A247" s="4">
        <v>246</v>
      </c>
      <c r="B247" s="3">
        <v>21796</v>
      </c>
      <c r="C247" s="4">
        <v>40</v>
      </c>
      <c r="D247" s="15"/>
      <c r="E247" s="8"/>
      <c r="F247" s="8"/>
      <c r="G247" s="8"/>
      <c r="H247" s="5"/>
    </row>
    <row r="248" spans="1:8" ht="15.75" customHeight="1">
      <c r="A248" s="4">
        <v>247</v>
      </c>
      <c r="B248" s="3">
        <v>21797</v>
      </c>
      <c r="C248" s="4">
        <v>42</v>
      </c>
      <c r="D248" s="15"/>
      <c r="E248" s="8"/>
      <c r="F248" s="8"/>
      <c r="G248" s="8"/>
      <c r="H248" s="5"/>
    </row>
    <row r="249" spans="1:8" ht="15.75" customHeight="1">
      <c r="A249" s="4">
        <v>248</v>
      </c>
      <c r="B249" s="3">
        <v>21798</v>
      </c>
      <c r="C249" s="4">
        <v>51</v>
      </c>
      <c r="D249" s="15"/>
      <c r="E249" s="8"/>
      <c r="F249" s="8"/>
      <c r="G249" s="8"/>
      <c r="H249" s="5"/>
    </row>
    <row r="250" spans="1:8" ht="15.75" customHeight="1">
      <c r="A250" s="4">
        <v>249</v>
      </c>
      <c r="B250" s="3">
        <v>21799</v>
      </c>
      <c r="C250" s="4">
        <v>44</v>
      </c>
      <c r="D250" s="15"/>
      <c r="E250" s="8"/>
      <c r="F250" s="8"/>
      <c r="G250" s="8"/>
      <c r="H250" s="5"/>
    </row>
    <row r="251" spans="1:8" ht="15.75" customHeight="1">
      <c r="A251" s="4">
        <v>250</v>
      </c>
      <c r="B251" s="3">
        <v>21800</v>
      </c>
      <c r="C251" s="4">
        <v>45</v>
      </c>
      <c r="D251" s="15"/>
      <c r="E251" s="8"/>
      <c r="F251" s="8"/>
      <c r="G251" s="8"/>
      <c r="H251" s="5"/>
    </row>
    <row r="252" spans="1:8" ht="15.75" customHeight="1">
      <c r="A252" s="4">
        <v>251</v>
      </c>
      <c r="B252" s="3">
        <v>21801</v>
      </c>
      <c r="C252" s="4">
        <v>36</v>
      </c>
      <c r="D252" s="15"/>
      <c r="E252" s="8"/>
      <c r="F252" s="8"/>
      <c r="G252" s="8"/>
      <c r="H252" s="5"/>
    </row>
    <row r="253" spans="1:8" ht="15.75" customHeight="1">
      <c r="A253" s="4">
        <v>252</v>
      </c>
      <c r="B253" s="3">
        <v>21802</v>
      </c>
      <c r="C253" s="4">
        <v>57</v>
      </c>
      <c r="D253" s="15"/>
      <c r="E253" s="8"/>
      <c r="F253" s="8"/>
      <c r="G253" s="8"/>
      <c r="H253" s="5"/>
    </row>
    <row r="254" spans="1:8" ht="15.75" customHeight="1">
      <c r="A254" s="4">
        <v>253</v>
      </c>
      <c r="B254" s="3">
        <v>21803</v>
      </c>
      <c r="C254" s="4">
        <v>44</v>
      </c>
      <c r="D254" s="15"/>
      <c r="E254" s="8"/>
      <c r="F254" s="8"/>
      <c r="G254" s="8"/>
      <c r="H254" s="5"/>
    </row>
    <row r="255" spans="1:8" ht="15.75" customHeight="1">
      <c r="A255" s="4">
        <v>254</v>
      </c>
      <c r="B255" s="3">
        <v>21804</v>
      </c>
      <c r="C255" s="4">
        <v>42</v>
      </c>
      <c r="D255" s="15"/>
      <c r="E255" s="8"/>
      <c r="F255" s="8"/>
      <c r="G255" s="8"/>
      <c r="H255" s="5"/>
    </row>
    <row r="256" spans="1:8" ht="15.75" customHeight="1">
      <c r="A256" s="4">
        <v>255</v>
      </c>
      <c r="B256" s="3">
        <v>21805</v>
      </c>
      <c r="C256" s="4">
        <v>53</v>
      </c>
      <c r="D256" s="15"/>
      <c r="E256" s="8"/>
      <c r="F256" s="8"/>
      <c r="G256" s="8"/>
      <c r="H256" s="5"/>
    </row>
    <row r="257" spans="1:8" ht="15.75" customHeight="1">
      <c r="A257" s="4">
        <v>256</v>
      </c>
      <c r="B257" s="3">
        <v>21806</v>
      </c>
      <c r="C257" s="4">
        <v>42</v>
      </c>
      <c r="D257" s="15"/>
      <c r="E257" s="8"/>
      <c r="F257" s="8"/>
      <c r="G257" s="8"/>
      <c r="H257" s="5"/>
    </row>
    <row r="258" spans="1:8" ht="15.75" customHeight="1">
      <c r="A258" s="4">
        <v>257</v>
      </c>
      <c r="B258" s="3">
        <v>21807</v>
      </c>
      <c r="C258" s="4">
        <v>34</v>
      </c>
      <c r="D258" s="15"/>
      <c r="E258" s="8"/>
      <c r="F258" s="8"/>
      <c r="G258" s="8"/>
      <c r="H258" s="5"/>
    </row>
    <row r="259" spans="1:8" ht="15.75" customHeight="1">
      <c r="A259" s="4">
        <v>258</v>
      </c>
      <c r="B259" s="3">
        <v>21808</v>
      </c>
      <c r="C259" s="4">
        <v>40</v>
      </c>
      <c r="D259" s="15"/>
      <c r="E259" s="8"/>
      <c r="F259" s="8"/>
      <c r="G259" s="8"/>
      <c r="H259" s="5"/>
    </row>
    <row r="260" spans="1:8" ht="15.75" customHeight="1">
      <c r="A260" s="4">
        <v>259</v>
      </c>
      <c r="B260" s="3">
        <v>21809</v>
      </c>
      <c r="C260" s="4">
        <v>56</v>
      </c>
      <c r="D260" s="15"/>
      <c r="E260" s="8"/>
      <c r="F260" s="8"/>
      <c r="G260" s="8"/>
      <c r="H260" s="5"/>
    </row>
    <row r="261" spans="1:8" ht="15.75" customHeight="1">
      <c r="A261" s="4">
        <v>260</v>
      </c>
      <c r="B261" s="3">
        <v>21810</v>
      </c>
      <c r="C261" s="4">
        <v>44</v>
      </c>
      <c r="D261" s="15"/>
      <c r="E261" s="8"/>
      <c r="F261" s="8"/>
      <c r="G261" s="8"/>
      <c r="H261" s="5"/>
    </row>
    <row r="262" spans="1:8" ht="15.75" customHeight="1">
      <c r="A262" s="4">
        <v>261</v>
      </c>
      <c r="B262" s="3">
        <v>21811</v>
      </c>
      <c r="C262" s="4">
        <v>53</v>
      </c>
      <c r="D262" s="15"/>
      <c r="E262" s="8"/>
      <c r="F262" s="8"/>
      <c r="G262" s="8"/>
      <c r="H262" s="5"/>
    </row>
    <row r="263" spans="1:8" ht="15.75" customHeight="1">
      <c r="A263" s="4">
        <v>262</v>
      </c>
      <c r="B263" s="3">
        <v>21812</v>
      </c>
      <c r="C263" s="4">
        <v>55</v>
      </c>
      <c r="D263" s="15"/>
      <c r="E263" s="8"/>
      <c r="F263" s="8"/>
      <c r="G263" s="8"/>
      <c r="H263" s="5"/>
    </row>
    <row r="264" spans="1:8" ht="15.75" customHeight="1">
      <c r="A264" s="4">
        <v>263</v>
      </c>
      <c r="B264" s="3">
        <v>21813</v>
      </c>
      <c r="C264" s="4">
        <v>39</v>
      </c>
      <c r="D264" s="15"/>
      <c r="E264" s="8"/>
      <c r="F264" s="8"/>
      <c r="G264" s="8"/>
      <c r="H264" s="5"/>
    </row>
    <row r="265" spans="1:8" ht="15.75" customHeight="1">
      <c r="A265" s="4">
        <v>264</v>
      </c>
      <c r="B265" s="3">
        <v>21814</v>
      </c>
      <c r="C265" s="4">
        <v>59</v>
      </c>
      <c r="D265" s="15"/>
      <c r="E265" s="8"/>
      <c r="F265" s="8"/>
      <c r="G265" s="8"/>
      <c r="H265" s="5"/>
    </row>
    <row r="266" spans="1:8" ht="15.75" customHeight="1">
      <c r="A266" s="4">
        <v>265</v>
      </c>
      <c r="B266" s="3">
        <v>21815</v>
      </c>
      <c r="C266" s="4">
        <v>55</v>
      </c>
      <c r="D266" s="15"/>
      <c r="E266" s="8"/>
      <c r="F266" s="8"/>
      <c r="G266" s="8"/>
      <c r="H266" s="5"/>
    </row>
    <row r="267" spans="1:8" ht="15.75" customHeight="1">
      <c r="A267" s="4">
        <v>266</v>
      </c>
      <c r="B267" s="3">
        <v>21816</v>
      </c>
      <c r="C267" s="4">
        <v>73</v>
      </c>
      <c r="D267" s="15"/>
      <c r="E267" s="8"/>
      <c r="F267" s="8"/>
      <c r="G267" s="8"/>
      <c r="H267" s="5"/>
    </row>
    <row r="268" spans="1:8" ht="15.75" customHeight="1">
      <c r="A268" s="4">
        <v>267</v>
      </c>
      <c r="B268" s="3">
        <v>21817</v>
      </c>
      <c r="C268" s="4">
        <v>55</v>
      </c>
      <c r="D268" s="15"/>
      <c r="E268" s="8"/>
      <c r="F268" s="8"/>
      <c r="G268" s="8"/>
      <c r="H268" s="5"/>
    </row>
    <row r="269" spans="1:8" ht="15.75" customHeight="1">
      <c r="A269" s="4">
        <v>268</v>
      </c>
      <c r="B269" s="3">
        <v>21818</v>
      </c>
      <c r="C269" s="4">
        <v>44</v>
      </c>
      <c r="D269" s="15"/>
      <c r="E269" s="8"/>
      <c r="F269" s="8"/>
      <c r="G269" s="8"/>
      <c r="H269" s="5"/>
    </row>
    <row r="270" spans="1:8" ht="15.75" customHeight="1">
      <c r="A270" s="4">
        <v>269</v>
      </c>
      <c r="B270" s="3">
        <v>21819</v>
      </c>
      <c r="C270" s="4">
        <v>43</v>
      </c>
      <c r="D270" s="15"/>
      <c r="E270" s="8"/>
      <c r="F270" s="8"/>
      <c r="G270" s="8"/>
      <c r="H270" s="5"/>
    </row>
    <row r="271" spans="1:8" ht="15.75" customHeight="1">
      <c r="A271" s="4">
        <v>270</v>
      </c>
      <c r="B271" s="3">
        <v>21820</v>
      </c>
      <c r="C271" s="4">
        <v>40</v>
      </c>
      <c r="D271" s="15"/>
      <c r="E271" s="8"/>
      <c r="F271" s="8"/>
      <c r="G271" s="8"/>
      <c r="H271" s="5"/>
    </row>
    <row r="272" spans="1:8" ht="15.75" customHeight="1">
      <c r="A272" s="4">
        <v>271</v>
      </c>
      <c r="B272" s="3">
        <v>21821</v>
      </c>
      <c r="C272" s="4">
        <v>47</v>
      </c>
      <c r="D272" s="15"/>
      <c r="E272" s="8"/>
      <c r="F272" s="8"/>
      <c r="G272" s="8"/>
      <c r="H272" s="5"/>
    </row>
    <row r="273" spans="1:8" ht="15.75" customHeight="1">
      <c r="A273" s="4">
        <v>272</v>
      </c>
      <c r="B273" s="3">
        <v>21822</v>
      </c>
      <c r="C273" s="4">
        <v>51</v>
      </c>
      <c r="D273" s="15"/>
      <c r="E273" s="8"/>
      <c r="F273" s="8"/>
      <c r="G273" s="8"/>
      <c r="H273" s="5"/>
    </row>
    <row r="274" spans="1:8" ht="15.75" customHeight="1">
      <c r="A274" s="4">
        <v>273</v>
      </c>
      <c r="B274" s="3">
        <v>21823</v>
      </c>
      <c r="C274" s="4">
        <v>56</v>
      </c>
      <c r="D274" s="15"/>
      <c r="E274" s="8"/>
      <c r="F274" s="8"/>
      <c r="G274" s="8"/>
      <c r="H274" s="5"/>
    </row>
    <row r="275" spans="1:8" ht="15.75" customHeight="1">
      <c r="A275" s="4">
        <v>274</v>
      </c>
      <c r="B275" s="3">
        <v>21824</v>
      </c>
      <c r="C275" s="4">
        <v>49</v>
      </c>
      <c r="D275" s="15"/>
      <c r="E275" s="8"/>
      <c r="F275" s="8"/>
      <c r="G275" s="8"/>
      <c r="H275" s="5"/>
    </row>
    <row r="276" spans="1:8" ht="15.75" customHeight="1">
      <c r="A276" s="4">
        <v>275</v>
      </c>
      <c r="B276" s="3">
        <v>21825</v>
      </c>
      <c r="C276" s="4">
        <v>54</v>
      </c>
      <c r="D276" s="15"/>
      <c r="E276" s="8"/>
      <c r="F276" s="8"/>
      <c r="G276" s="8"/>
      <c r="H276" s="5"/>
    </row>
    <row r="277" spans="1:8" ht="15.75" customHeight="1">
      <c r="A277" s="4">
        <v>276</v>
      </c>
      <c r="B277" s="3">
        <v>21826</v>
      </c>
      <c r="C277" s="4">
        <v>56</v>
      </c>
      <c r="D277" s="15"/>
      <c r="E277" s="8"/>
      <c r="F277" s="8"/>
      <c r="G277" s="8"/>
      <c r="H277" s="5"/>
    </row>
    <row r="278" spans="1:8" ht="15.75" customHeight="1">
      <c r="A278" s="4">
        <v>277</v>
      </c>
      <c r="B278" s="3">
        <v>21827</v>
      </c>
      <c r="C278" s="4">
        <v>47</v>
      </c>
      <c r="D278" s="15"/>
      <c r="E278" s="8"/>
      <c r="F278" s="8"/>
      <c r="G278" s="8"/>
      <c r="H278" s="5"/>
    </row>
    <row r="279" spans="1:8" ht="15.75" customHeight="1">
      <c r="A279" s="4">
        <v>278</v>
      </c>
      <c r="B279" s="3">
        <v>21828</v>
      </c>
      <c r="C279" s="4">
        <v>44</v>
      </c>
      <c r="D279" s="15"/>
      <c r="E279" s="8"/>
      <c r="F279" s="8"/>
      <c r="G279" s="8"/>
      <c r="H279" s="5"/>
    </row>
    <row r="280" spans="1:8" ht="15.75" customHeight="1">
      <c r="A280" s="4">
        <v>279</v>
      </c>
      <c r="B280" s="3">
        <v>21829</v>
      </c>
      <c r="C280" s="4">
        <v>43</v>
      </c>
      <c r="D280" s="15"/>
      <c r="E280" s="8"/>
      <c r="F280" s="8"/>
      <c r="G280" s="8"/>
      <c r="H280" s="5"/>
    </row>
    <row r="281" spans="1:8" ht="15.75" customHeight="1">
      <c r="A281" s="4">
        <v>280</v>
      </c>
      <c r="B281" s="3">
        <v>21830</v>
      </c>
      <c r="C281" s="4">
        <v>42</v>
      </c>
      <c r="D281" s="15"/>
      <c r="E281" s="8"/>
      <c r="F281" s="8"/>
      <c r="G281" s="8"/>
      <c r="H281" s="5"/>
    </row>
    <row r="282" spans="1:8" ht="15.75" customHeight="1">
      <c r="A282" s="4">
        <v>281</v>
      </c>
      <c r="B282" s="3">
        <v>21831</v>
      </c>
      <c r="C282" s="4">
        <v>45</v>
      </c>
      <c r="D282" s="15"/>
      <c r="E282" s="8"/>
      <c r="F282" s="8"/>
      <c r="G282" s="8"/>
      <c r="H282" s="5"/>
    </row>
    <row r="283" spans="1:8" ht="15.75" customHeight="1">
      <c r="A283" s="4">
        <v>282</v>
      </c>
      <c r="B283" s="3">
        <v>21832</v>
      </c>
      <c r="C283" s="4">
        <v>50</v>
      </c>
      <c r="D283" s="15"/>
      <c r="E283" s="8"/>
      <c r="F283" s="8"/>
      <c r="G283" s="8"/>
      <c r="H283" s="5"/>
    </row>
    <row r="284" spans="1:8" ht="15.75" customHeight="1">
      <c r="A284" s="4">
        <v>283</v>
      </c>
      <c r="B284" s="3">
        <v>21833</v>
      </c>
      <c r="C284" s="4">
        <v>48</v>
      </c>
      <c r="D284" s="15"/>
      <c r="E284" s="8"/>
      <c r="F284" s="8"/>
      <c r="G284" s="8"/>
      <c r="H284" s="5"/>
    </row>
    <row r="285" spans="1:8" ht="15.75" customHeight="1">
      <c r="A285" s="4">
        <v>284</v>
      </c>
      <c r="B285" s="3">
        <v>21834</v>
      </c>
      <c r="C285" s="4">
        <v>43</v>
      </c>
      <c r="D285" s="15"/>
      <c r="E285" s="8"/>
      <c r="F285" s="8"/>
      <c r="G285" s="8"/>
      <c r="H285" s="5"/>
    </row>
    <row r="286" spans="1:8" ht="15.75" customHeight="1">
      <c r="A286" s="4">
        <v>285</v>
      </c>
      <c r="B286" s="3">
        <v>21835</v>
      </c>
      <c r="C286" s="4">
        <v>40</v>
      </c>
      <c r="D286" s="15"/>
      <c r="E286" s="8"/>
      <c r="F286" s="8"/>
      <c r="G286" s="8"/>
      <c r="H286" s="5"/>
    </row>
    <row r="287" spans="1:8" ht="15.75" customHeight="1">
      <c r="A287" s="4">
        <v>286</v>
      </c>
      <c r="B287" s="3">
        <v>21836</v>
      </c>
      <c r="C287" s="4">
        <v>59</v>
      </c>
      <c r="D287" s="15"/>
      <c r="E287" s="8"/>
      <c r="F287" s="8"/>
      <c r="G287" s="8"/>
      <c r="H287" s="5"/>
    </row>
    <row r="288" spans="1:8" ht="15.75" customHeight="1">
      <c r="A288" s="4">
        <v>287</v>
      </c>
      <c r="B288" s="3">
        <v>21837</v>
      </c>
      <c r="C288" s="4">
        <v>41</v>
      </c>
      <c r="D288" s="15"/>
      <c r="E288" s="8"/>
      <c r="F288" s="8"/>
      <c r="G288" s="8"/>
      <c r="H288" s="5"/>
    </row>
    <row r="289" spans="1:8" ht="15.75" customHeight="1">
      <c r="A289" s="4">
        <v>288</v>
      </c>
      <c r="B289" s="3">
        <v>21838</v>
      </c>
      <c r="C289" s="4">
        <v>42</v>
      </c>
      <c r="D289" s="15"/>
      <c r="E289" s="8"/>
      <c r="F289" s="8"/>
      <c r="G289" s="8"/>
      <c r="H289" s="5"/>
    </row>
    <row r="290" spans="1:8" ht="15.75" customHeight="1">
      <c r="A290" s="4">
        <v>289</v>
      </c>
      <c r="B290" s="3">
        <v>21839</v>
      </c>
      <c r="C290" s="4">
        <v>51</v>
      </c>
      <c r="D290" s="15"/>
      <c r="E290" s="8"/>
      <c r="F290" s="8"/>
      <c r="G290" s="8"/>
      <c r="H290" s="5"/>
    </row>
    <row r="291" spans="1:8" ht="15.75" customHeight="1">
      <c r="A291" s="4">
        <v>290</v>
      </c>
      <c r="B291" s="3">
        <v>21840</v>
      </c>
      <c r="C291" s="4">
        <v>49</v>
      </c>
      <c r="D291" s="15"/>
      <c r="E291" s="8"/>
      <c r="F291" s="8"/>
      <c r="G291" s="8"/>
      <c r="H291" s="5"/>
    </row>
    <row r="292" spans="1:8" ht="15.75" customHeight="1">
      <c r="A292" s="4">
        <v>291</v>
      </c>
      <c r="B292" s="3">
        <v>21841</v>
      </c>
      <c r="C292" s="4">
        <v>45</v>
      </c>
      <c r="D292" s="15"/>
      <c r="E292" s="8"/>
      <c r="F292" s="8"/>
      <c r="G292" s="8"/>
      <c r="H292" s="5"/>
    </row>
    <row r="293" spans="1:8" ht="15.75" customHeight="1">
      <c r="A293" s="4">
        <v>292</v>
      </c>
      <c r="B293" s="3">
        <v>21842</v>
      </c>
      <c r="C293" s="4">
        <v>43</v>
      </c>
      <c r="D293" s="15"/>
      <c r="E293" s="8"/>
      <c r="F293" s="8"/>
      <c r="G293" s="8"/>
      <c r="H293" s="5"/>
    </row>
    <row r="294" spans="1:8" ht="15.75" customHeight="1">
      <c r="A294" s="4">
        <v>293</v>
      </c>
      <c r="B294" s="3">
        <v>21843</v>
      </c>
      <c r="C294" s="4">
        <v>42</v>
      </c>
      <c r="D294" s="15"/>
      <c r="E294" s="8"/>
      <c r="F294" s="8"/>
      <c r="G294" s="8"/>
      <c r="H294" s="5"/>
    </row>
    <row r="295" spans="1:8" ht="15.75" customHeight="1">
      <c r="A295" s="4">
        <v>294</v>
      </c>
      <c r="B295" s="3">
        <v>21844</v>
      </c>
      <c r="C295" s="4">
        <v>38</v>
      </c>
      <c r="D295" s="15"/>
      <c r="E295" s="8"/>
      <c r="F295" s="8"/>
      <c r="G295" s="8"/>
      <c r="H295" s="5"/>
    </row>
    <row r="296" spans="1:8" ht="15.75" customHeight="1">
      <c r="A296" s="4">
        <v>295</v>
      </c>
      <c r="B296" s="3">
        <v>21845</v>
      </c>
      <c r="C296" s="4">
        <v>47</v>
      </c>
      <c r="D296" s="15"/>
      <c r="E296" s="8"/>
      <c r="F296" s="8"/>
      <c r="G296" s="8"/>
      <c r="H296" s="5"/>
    </row>
    <row r="297" spans="1:8" ht="15.75" customHeight="1">
      <c r="A297" s="4">
        <v>296</v>
      </c>
      <c r="B297" s="3">
        <v>21846</v>
      </c>
      <c r="C297" s="4">
        <v>38</v>
      </c>
      <c r="D297" s="15"/>
      <c r="E297" s="8"/>
      <c r="F297" s="8"/>
      <c r="G297" s="8"/>
      <c r="H297" s="5"/>
    </row>
    <row r="298" spans="1:8" ht="15.75" customHeight="1">
      <c r="A298" s="4">
        <v>297</v>
      </c>
      <c r="B298" s="3">
        <v>21847</v>
      </c>
      <c r="C298" s="4">
        <v>36</v>
      </c>
      <c r="D298" s="15"/>
      <c r="E298" s="8"/>
      <c r="F298" s="8"/>
      <c r="G298" s="8"/>
      <c r="H298" s="5"/>
    </row>
    <row r="299" spans="1:8" ht="15.75" customHeight="1">
      <c r="A299" s="4">
        <v>298</v>
      </c>
      <c r="B299" s="3">
        <v>21848</v>
      </c>
      <c r="C299" s="4">
        <v>42</v>
      </c>
      <c r="D299" s="15"/>
      <c r="E299" s="8"/>
      <c r="F299" s="8"/>
      <c r="G299" s="8"/>
      <c r="H299" s="5"/>
    </row>
    <row r="300" spans="1:8" ht="15.75" customHeight="1">
      <c r="A300" s="4">
        <v>299</v>
      </c>
      <c r="B300" s="3">
        <v>21849</v>
      </c>
      <c r="C300" s="4">
        <v>35</v>
      </c>
      <c r="D300" s="15"/>
      <c r="E300" s="8"/>
      <c r="F300" s="8"/>
      <c r="G300" s="8"/>
      <c r="H300" s="5"/>
    </row>
    <row r="301" spans="1:8" ht="15.75" customHeight="1">
      <c r="A301" s="4">
        <v>300</v>
      </c>
      <c r="B301" s="3">
        <v>21850</v>
      </c>
      <c r="C301" s="4">
        <v>28</v>
      </c>
      <c r="D301" s="15"/>
      <c r="E301" s="8"/>
      <c r="F301" s="8"/>
      <c r="G301" s="8"/>
      <c r="H301" s="5"/>
    </row>
    <row r="302" spans="1:8" ht="15.75" customHeight="1">
      <c r="A302" s="4">
        <v>301</v>
      </c>
      <c r="B302" s="3">
        <v>21851</v>
      </c>
      <c r="C302" s="4">
        <v>44</v>
      </c>
      <c r="D302" s="15"/>
      <c r="E302" s="8"/>
      <c r="F302" s="8"/>
      <c r="G302" s="8"/>
      <c r="H302" s="5"/>
    </row>
    <row r="303" spans="1:8" ht="15.75" customHeight="1">
      <c r="A303" s="4">
        <v>302</v>
      </c>
      <c r="B303" s="3">
        <v>21852</v>
      </c>
      <c r="C303" s="4">
        <v>36</v>
      </c>
      <c r="D303" s="15"/>
      <c r="E303" s="8"/>
      <c r="F303" s="8"/>
      <c r="G303" s="8"/>
      <c r="H303" s="5"/>
    </row>
    <row r="304" spans="1:8" ht="15.75" customHeight="1">
      <c r="A304" s="4">
        <v>303</v>
      </c>
      <c r="B304" s="3">
        <v>21853</v>
      </c>
      <c r="C304" s="4">
        <v>45</v>
      </c>
      <c r="D304" s="15"/>
      <c r="E304" s="8"/>
      <c r="F304" s="8"/>
      <c r="G304" s="8"/>
      <c r="H304" s="5"/>
    </row>
    <row r="305" spans="1:8" ht="15.75" customHeight="1">
      <c r="A305" s="4">
        <v>304</v>
      </c>
      <c r="B305" s="3">
        <v>21854</v>
      </c>
      <c r="C305" s="4">
        <v>46</v>
      </c>
      <c r="D305" s="15"/>
      <c r="E305" s="8"/>
      <c r="F305" s="8"/>
      <c r="G305" s="8"/>
      <c r="H305" s="5"/>
    </row>
    <row r="306" spans="1:8" ht="15.75" customHeight="1">
      <c r="A306" s="4">
        <v>305</v>
      </c>
      <c r="B306" s="3">
        <v>21855</v>
      </c>
      <c r="C306" s="4">
        <v>48</v>
      </c>
      <c r="D306" s="15"/>
      <c r="E306" s="8"/>
      <c r="F306" s="8"/>
      <c r="G306" s="8"/>
      <c r="H306" s="5"/>
    </row>
    <row r="307" spans="1:8" ht="15.75" customHeight="1">
      <c r="A307" s="4">
        <v>306</v>
      </c>
      <c r="B307" s="3">
        <v>21856</v>
      </c>
      <c r="C307" s="4">
        <v>49</v>
      </c>
      <c r="D307" s="15"/>
      <c r="E307" s="8"/>
      <c r="F307" s="8"/>
      <c r="G307" s="8"/>
      <c r="H307" s="5"/>
    </row>
    <row r="308" spans="1:8" ht="15.75" customHeight="1">
      <c r="A308" s="4">
        <v>307</v>
      </c>
      <c r="B308" s="3">
        <v>21857</v>
      </c>
      <c r="C308" s="4">
        <v>43</v>
      </c>
      <c r="D308" s="15"/>
      <c r="E308" s="8"/>
      <c r="F308" s="8"/>
      <c r="G308" s="8"/>
      <c r="H308" s="5"/>
    </row>
    <row r="309" spans="1:8" ht="15.75" customHeight="1">
      <c r="A309" s="4">
        <v>308</v>
      </c>
      <c r="B309" s="3">
        <v>21858</v>
      </c>
      <c r="C309" s="4">
        <v>42</v>
      </c>
      <c r="D309" s="15"/>
      <c r="E309" s="8"/>
      <c r="F309" s="8"/>
      <c r="G309" s="8"/>
      <c r="H309" s="5"/>
    </row>
    <row r="310" spans="1:8" ht="15.75" customHeight="1">
      <c r="A310" s="4">
        <v>309</v>
      </c>
      <c r="B310" s="3">
        <v>21859</v>
      </c>
      <c r="C310" s="4">
        <v>59</v>
      </c>
      <c r="D310" s="15"/>
      <c r="E310" s="8"/>
      <c r="F310" s="8"/>
      <c r="G310" s="8"/>
      <c r="H310" s="5"/>
    </row>
    <row r="311" spans="1:8" ht="15.75" customHeight="1">
      <c r="A311" s="4">
        <v>310</v>
      </c>
      <c r="B311" s="3">
        <v>21860</v>
      </c>
      <c r="C311" s="4">
        <v>45</v>
      </c>
      <c r="D311" s="15"/>
      <c r="E311" s="8"/>
      <c r="F311" s="8"/>
      <c r="G311" s="8"/>
      <c r="H311" s="5"/>
    </row>
    <row r="312" spans="1:8" ht="15.75" customHeight="1">
      <c r="A312" s="4">
        <v>311</v>
      </c>
      <c r="B312" s="3">
        <v>21861</v>
      </c>
      <c r="C312" s="4">
        <v>52</v>
      </c>
      <c r="D312" s="15"/>
      <c r="E312" s="8"/>
      <c r="F312" s="8"/>
      <c r="G312" s="8"/>
      <c r="H312" s="5"/>
    </row>
    <row r="313" spans="1:8" ht="15.75" customHeight="1">
      <c r="A313" s="4">
        <v>312</v>
      </c>
      <c r="B313" s="3">
        <v>21862</v>
      </c>
      <c r="C313" s="4">
        <v>46</v>
      </c>
      <c r="D313" s="15"/>
      <c r="E313" s="8"/>
      <c r="F313" s="8"/>
      <c r="G313" s="8"/>
      <c r="H313" s="5"/>
    </row>
    <row r="314" spans="1:8" ht="15.75" customHeight="1">
      <c r="A314" s="4">
        <v>313</v>
      </c>
      <c r="B314" s="3">
        <v>21863</v>
      </c>
      <c r="C314" s="4">
        <v>42</v>
      </c>
      <c r="D314" s="15"/>
      <c r="E314" s="8"/>
      <c r="F314" s="8"/>
      <c r="G314" s="8"/>
      <c r="H314" s="5"/>
    </row>
    <row r="315" spans="1:8" ht="15.75" customHeight="1">
      <c r="A315" s="4">
        <v>314</v>
      </c>
      <c r="B315" s="3">
        <v>21864</v>
      </c>
      <c r="C315" s="4">
        <v>40</v>
      </c>
      <c r="D315" s="15"/>
      <c r="E315" s="8"/>
      <c r="F315" s="8"/>
      <c r="G315" s="8"/>
      <c r="H315" s="5"/>
    </row>
    <row r="316" spans="1:8" ht="15.75" customHeight="1">
      <c r="A316" s="4">
        <v>315</v>
      </c>
      <c r="B316" s="3">
        <v>21865</v>
      </c>
      <c r="C316" s="4">
        <v>40</v>
      </c>
      <c r="D316" s="15"/>
      <c r="E316" s="8"/>
      <c r="F316" s="8"/>
      <c r="G316" s="8"/>
      <c r="H316" s="5"/>
    </row>
    <row r="317" spans="1:8" ht="15.75" customHeight="1">
      <c r="A317" s="4">
        <v>316</v>
      </c>
      <c r="B317" s="3">
        <v>21866</v>
      </c>
      <c r="C317" s="4">
        <v>45</v>
      </c>
      <c r="D317" s="15"/>
      <c r="E317" s="8"/>
      <c r="F317" s="8"/>
      <c r="G317" s="8"/>
      <c r="H317" s="5"/>
    </row>
    <row r="318" spans="1:8" ht="15.75" customHeight="1">
      <c r="A318" s="4">
        <v>317</v>
      </c>
      <c r="B318" s="3">
        <v>21867</v>
      </c>
      <c r="C318" s="4">
        <v>35</v>
      </c>
      <c r="D318" s="15"/>
      <c r="E318" s="8"/>
      <c r="F318" s="8"/>
      <c r="G318" s="8"/>
      <c r="H318" s="5"/>
    </row>
    <row r="319" spans="1:8" ht="15.75" customHeight="1">
      <c r="A319" s="4">
        <v>318</v>
      </c>
      <c r="B319" s="3">
        <v>21868</v>
      </c>
      <c r="C319" s="4">
        <v>35</v>
      </c>
      <c r="D319" s="15"/>
      <c r="E319" s="8"/>
      <c r="F319" s="8"/>
      <c r="G319" s="8"/>
      <c r="H319" s="5"/>
    </row>
    <row r="320" spans="1:8" ht="15.75" customHeight="1">
      <c r="A320" s="4">
        <v>319</v>
      </c>
      <c r="B320" s="3">
        <v>21869</v>
      </c>
      <c r="C320" s="4">
        <v>40</v>
      </c>
      <c r="D320" s="15"/>
      <c r="E320" s="8"/>
      <c r="F320" s="8"/>
      <c r="G320" s="8"/>
      <c r="H320" s="5"/>
    </row>
    <row r="321" spans="1:8" ht="15.75" customHeight="1">
      <c r="A321" s="4">
        <v>320</v>
      </c>
      <c r="B321" s="3">
        <v>21870</v>
      </c>
      <c r="C321" s="4">
        <v>39</v>
      </c>
      <c r="D321" s="15"/>
      <c r="E321" s="8"/>
      <c r="F321" s="8"/>
      <c r="G321" s="8"/>
      <c r="H321" s="5"/>
    </row>
    <row r="322" spans="1:8" ht="15.75" customHeight="1">
      <c r="A322" s="4">
        <v>321</v>
      </c>
      <c r="B322" s="3">
        <v>21871</v>
      </c>
      <c r="C322" s="4">
        <v>33</v>
      </c>
      <c r="D322" s="15"/>
      <c r="E322" s="8"/>
      <c r="F322" s="8"/>
      <c r="G322" s="8"/>
      <c r="H322" s="5"/>
    </row>
    <row r="323" spans="1:8" ht="15.75" customHeight="1">
      <c r="A323" s="4">
        <v>322</v>
      </c>
      <c r="B323" s="3">
        <v>21872</v>
      </c>
      <c r="C323" s="4">
        <v>42</v>
      </c>
      <c r="D323" s="15"/>
      <c r="E323" s="8"/>
      <c r="F323" s="8"/>
      <c r="G323" s="8"/>
      <c r="H323" s="5"/>
    </row>
    <row r="324" spans="1:8" ht="15.75" customHeight="1">
      <c r="A324" s="4">
        <v>323</v>
      </c>
      <c r="B324" s="3">
        <v>21873</v>
      </c>
      <c r="C324" s="4">
        <v>47</v>
      </c>
      <c r="D324" s="15"/>
      <c r="E324" s="8"/>
      <c r="F324" s="8"/>
      <c r="G324" s="8"/>
      <c r="H324" s="5"/>
    </row>
    <row r="325" spans="1:8" ht="15.75" customHeight="1">
      <c r="A325" s="4">
        <v>324</v>
      </c>
      <c r="B325" s="3">
        <v>21874</v>
      </c>
      <c r="C325" s="4">
        <v>51</v>
      </c>
      <c r="D325" s="15"/>
      <c r="E325" s="8"/>
      <c r="F325" s="8"/>
      <c r="G325" s="8"/>
      <c r="H325" s="5"/>
    </row>
    <row r="326" spans="1:8" ht="15.75" customHeight="1">
      <c r="A326" s="4">
        <v>325</v>
      </c>
      <c r="B326" s="3">
        <v>21875</v>
      </c>
      <c r="C326" s="4">
        <v>44</v>
      </c>
      <c r="D326" s="15"/>
      <c r="E326" s="8"/>
      <c r="F326" s="8"/>
      <c r="G326" s="8"/>
      <c r="H326" s="5"/>
    </row>
    <row r="327" spans="1:8" ht="15.75" customHeight="1">
      <c r="A327" s="4">
        <v>326</v>
      </c>
      <c r="B327" s="3">
        <v>21876</v>
      </c>
      <c r="C327" s="4">
        <v>40</v>
      </c>
      <c r="D327" s="15"/>
      <c r="E327" s="8"/>
      <c r="F327" s="8"/>
      <c r="G327" s="8"/>
      <c r="H327" s="5"/>
    </row>
    <row r="328" spans="1:8" ht="15.75" customHeight="1">
      <c r="A328" s="4">
        <v>327</v>
      </c>
      <c r="B328" s="3">
        <v>21877</v>
      </c>
      <c r="C328" s="4">
        <v>57</v>
      </c>
      <c r="D328" s="15"/>
      <c r="E328" s="8"/>
      <c r="F328" s="8"/>
      <c r="G328" s="8"/>
      <c r="H328" s="5"/>
    </row>
    <row r="329" spans="1:8" ht="15.75" customHeight="1">
      <c r="A329" s="4">
        <v>328</v>
      </c>
      <c r="B329" s="3">
        <v>21878</v>
      </c>
      <c r="C329" s="4">
        <v>49</v>
      </c>
      <c r="D329" s="15"/>
      <c r="E329" s="8"/>
      <c r="F329" s="8"/>
      <c r="G329" s="8"/>
      <c r="H329" s="5"/>
    </row>
    <row r="330" spans="1:8" ht="15.75" customHeight="1">
      <c r="A330" s="4">
        <v>329</v>
      </c>
      <c r="B330" s="3">
        <v>21879</v>
      </c>
      <c r="C330" s="4">
        <v>45</v>
      </c>
      <c r="D330" s="15"/>
      <c r="E330" s="8"/>
      <c r="F330" s="8"/>
      <c r="G330" s="8"/>
      <c r="H330" s="5"/>
    </row>
    <row r="331" spans="1:8" ht="15.75" customHeight="1">
      <c r="A331" s="4">
        <v>330</v>
      </c>
      <c r="B331" s="3">
        <v>21880</v>
      </c>
      <c r="C331" s="4">
        <v>49</v>
      </c>
      <c r="D331" s="15"/>
      <c r="E331" s="8"/>
      <c r="F331" s="8"/>
      <c r="G331" s="8"/>
      <c r="H331" s="5"/>
    </row>
    <row r="332" spans="1:8" ht="15.75" customHeight="1">
      <c r="A332" s="4">
        <v>331</v>
      </c>
      <c r="B332" s="3">
        <v>21881</v>
      </c>
      <c r="C332" s="4">
        <v>51</v>
      </c>
      <c r="D332" s="15"/>
      <c r="E332" s="8"/>
      <c r="F332" s="8"/>
      <c r="G332" s="8"/>
      <c r="H332" s="5"/>
    </row>
    <row r="333" spans="1:8" ht="15.75" customHeight="1">
      <c r="A333" s="4">
        <v>332</v>
      </c>
      <c r="B333" s="3">
        <v>21882</v>
      </c>
      <c r="C333" s="4">
        <v>46</v>
      </c>
      <c r="D333" s="15"/>
      <c r="E333" s="8"/>
      <c r="F333" s="8"/>
      <c r="G333" s="8"/>
      <c r="H333" s="5"/>
    </row>
    <row r="334" spans="1:8" ht="15.75" customHeight="1">
      <c r="A334" s="4">
        <v>333</v>
      </c>
      <c r="B334" s="3">
        <v>21883</v>
      </c>
      <c r="C334" s="4">
        <v>44</v>
      </c>
      <c r="D334" s="15"/>
      <c r="E334" s="8"/>
      <c r="F334" s="8"/>
      <c r="G334" s="8"/>
      <c r="H334" s="5"/>
    </row>
    <row r="335" spans="1:8" ht="15.75" customHeight="1">
      <c r="A335" s="4">
        <v>334</v>
      </c>
      <c r="B335" s="3">
        <v>21884</v>
      </c>
      <c r="C335" s="4">
        <v>52</v>
      </c>
      <c r="D335" s="15"/>
      <c r="E335" s="8"/>
      <c r="F335" s="8"/>
      <c r="G335" s="8"/>
      <c r="H335" s="5"/>
    </row>
    <row r="336" spans="1:8" ht="15.75" customHeight="1">
      <c r="A336" s="4">
        <v>335</v>
      </c>
      <c r="B336" s="3">
        <v>21885</v>
      </c>
      <c r="C336" s="4">
        <v>45</v>
      </c>
      <c r="D336" s="15"/>
      <c r="E336" s="8"/>
      <c r="F336" s="8"/>
      <c r="G336" s="8"/>
      <c r="H336" s="5"/>
    </row>
    <row r="337" spans="1:8" ht="15.75" customHeight="1">
      <c r="A337" s="4">
        <v>336</v>
      </c>
      <c r="B337" s="3">
        <v>21886</v>
      </c>
      <c r="C337" s="4">
        <v>32</v>
      </c>
      <c r="D337" s="15"/>
      <c r="E337" s="8"/>
      <c r="F337" s="8"/>
      <c r="G337" s="8"/>
      <c r="H337" s="5"/>
    </row>
    <row r="338" spans="1:8" ht="15.75" customHeight="1">
      <c r="A338" s="4">
        <v>337</v>
      </c>
      <c r="B338" s="3">
        <v>21887</v>
      </c>
      <c r="C338" s="4">
        <v>46</v>
      </c>
      <c r="D338" s="15"/>
      <c r="E338" s="8"/>
      <c r="F338" s="8"/>
      <c r="G338" s="8"/>
      <c r="H338" s="5"/>
    </row>
    <row r="339" spans="1:8" ht="15.75" customHeight="1">
      <c r="A339" s="4">
        <v>338</v>
      </c>
      <c r="B339" s="3">
        <v>21888</v>
      </c>
      <c r="C339" s="4">
        <v>41</v>
      </c>
      <c r="D339" s="15"/>
      <c r="E339" s="8"/>
      <c r="F339" s="8"/>
      <c r="G339" s="8"/>
      <c r="H339" s="5"/>
    </row>
    <row r="340" spans="1:8" ht="15.75" customHeight="1">
      <c r="A340" s="4">
        <v>339</v>
      </c>
      <c r="B340" s="3">
        <v>21889</v>
      </c>
      <c r="C340" s="4">
        <v>34</v>
      </c>
      <c r="D340" s="15"/>
      <c r="E340" s="8"/>
      <c r="F340" s="8"/>
      <c r="G340" s="8"/>
      <c r="H340" s="5"/>
    </row>
    <row r="341" spans="1:8" ht="15.75" customHeight="1">
      <c r="A341" s="4">
        <v>340</v>
      </c>
      <c r="B341" s="3">
        <v>21890</v>
      </c>
      <c r="C341" s="4">
        <v>33</v>
      </c>
      <c r="D341" s="15"/>
      <c r="E341" s="8"/>
      <c r="F341" s="8"/>
      <c r="G341" s="8"/>
      <c r="H341" s="5"/>
    </row>
    <row r="342" spans="1:8" ht="15.75" customHeight="1">
      <c r="A342" s="4">
        <v>341</v>
      </c>
      <c r="B342" s="3">
        <v>21891</v>
      </c>
      <c r="C342" s="4">
        <v>36</v>
      </c>
      <c r="D342" s="15"/>
      <c r="E342" s="8"/>
      <c r="F342" s="8"/>
      <c r="G342" s="8"/>
      <c r="H342" s="5"/>
    </row>
    <row r="343" spans="1:8" ht="15.75" customHeight="1">
      <c r="A343" s="4">
        <v>342</v>
      </c>
      <c r="B343" s="3">
        <v>21892</v>
      </c>
      <c r="C343" s="4">
        <v>49</v>
      </c>
      <c r="D343" s="15"/>
      <c r="E343" s="8"/>
      <c r="F343" s="8"/>
      <c r="G343" s="8"/>
      <c r="H343" s="5"/>
    </row>
    <row r="344" spans="1:8" ht="15.75" customHeight="1">
      <c r="A344" s="4">
        <v>343</v>
      </c>
      <c r="B344" s="3">
        <v>21893</v>
      </c>
      <c r="C344" s="4">
        <v>43</v>
      </c>
      <c r="D344" s="15"/>
      <c r="E344" s="8"/>
      <c r="F344" s="8"/>
      <c r="G344" s="8"/>
      <c r="H344" s="5"/>
    </row>
    <row r="345" spans="1:8" ht="15.75" customHeight="1">
      <c r="A345" s="4">
        <v>344</v>
      </c>
      <c r="B345" s="3">
        <v>21894</v>
      </c>
      <c r="C345" s="4">
        <v>43</v>
      </c>
      <c r="D345" s="15"/>
      <c r="E345" s="8"/>
      <c r="F345" s="8"/>
      <c r="G345" s="8"/>
      <c r="H345" s="5"/>
    </row>
    <row r="346" spans="1:8" ht="15.75" customHeight="1">
      <c r="A346" s="4">
        <v>345</v>
      </c>
      <c r="B346" s="3">
        <v>21895</v>
      </c>
      <c r="C346" s="4">
        <v>34</v>
      </c>
      <c r="D346" s="15"/>
      <c r="E346" s="8"/>
      <c r="F346" s="8"/>
      <c r="G346" s="8"/>
      <c r="H346" s="5"/>
    </row>
    <row r="347" spans="1:8" ht="15.75" customHeight="1">
      <c r="A347" s="4">
        <v>346</v>
      </c>
      <c r="B347" s="3">
        <v>21896</v>
      </c>
      <c r="C347" s="4">
        <v>39</v>
      </c>
      <c r="D347" s="15"/>
      <c r="E347" s="8"/>
      <c r="F347" s="8"/>
      <c r="G347" s="8"/>
      <c r="H347" s="5"/>
    </row>
    <row r="348" spans="1:8" ht="15.75" customHeight="1">
      <c r="A348" s="4">
        <v>347</v>
      </c>
      <c r="B348" s="3">
        <v>21897</v>
      </c>
      <c r="C348" s="4">
        <v>35</v>
      </c>
      <c r="D348" s="15"/>
      <c r="E348" s="8"/>
    </row>
    <row r="349" spans="1:8" ht="15.75" customHeight="1">
      <c r="A349" s="4">
        <v>348</v>
      </c>
      <c r="B349" s="3">
        <v>21898</v>
      </c>
      <c r="C349" s="4">
        <v>52</v>
      </c>
      <c r="D349" s="15"/>
      <c r="E349" s="8"/>
    </row>
    <row r="350" spans="1:8" ht="15.75" customHeight="1">
      <c r="A350" s="4">
        <v>349</v>
      </c>
      <c r="B350" s="3">
        <v>21899</v>
      </c>
      <c r="C350" s="4">
        <v>47</v>
      </c>
      <c r="D350" s="15"/>
      <c r="E350" s="8"/>
    </row>
    <row r="351" spans="1:8" ht="15.75" customHeight="1">
      <c r="A351" s="4">
        <v>350</v>
      </c>
      <c r="B351" s="3">
        <v>21900</v>
      </c>
      <c r="C351" s="4">
        <v>52</v>
      </c>
      <c r="D351" s="15"/>
      <c r="E351" s="8"/>
    </row>
    <row r="352" spans="1:8" ht="15.75" customHeight="1">
      <c r="A352" s="4">
        <v>351</v>
      </c>
      <c r="B352" s="3">
        <v>21901</v>
      </c>
      <c r="C352" s="4">
        <v>39</v>
      </c>
      <c r="D352" s="15"/>
      <c r="E352" s="8"/>
    </row>
    <row r="353" spans="1:5" ht="15.75" customHeight="1">
      <c r="A353" s="4">
        <v>352</v>
      </c>
      <c r="B353" s="3">
        <v>21902</v>
      </c>
      <c r="C353" s="4">
        <v>40</v>
      </c>
      <c r="D353" s="15"/>
      <c r="E353" s="8"/>
    </row>
    <row r="354" spans="1:5" ht="15.75" customHeight="1">
      <c r="A354" s="4">
        <v>353</v>
      </c>
      <c r="B354" s="3">
        <v>21903</v>
      </c>
      <c r="C354" s="4">
        <v>42</v>
      </c>
      <c r="D354" s="15"/>
      <c r="E354" s="8"/>
    </row>
    <row r="355" spans="1:5" ht="15.75" customHeight="1">
      <c r="A355" s="4">
        <v>354</v>
      </c>
      <c r="B355" s="3">
        <v>21904</v>
      </c>
      <c r="C355" s="4">
        <v>42</v>
      </c>
      <c r="D355" s="15"/>
      <c r="E355" s="8"/>
    </row>
    <row r="356" spans="1:5" ht="15.75" customHeight="1">
      <c r="A356" s="4">
        <v>355</v>
      </c>
      <c r="B356" s="3">
        <v>21905</v>
      </c>
      <c r="C356" s="4">
        <v>53</v>
      </c>
      <c r="D356" s="15"/>
      <c r="E356" s="8"/>
    </row>
    <row r="357" spans="1:5" ht="15.75" customHeight="1">
      <c r="A357" s="4">
        <v>356</v>
      </c>
      <c r="B357" s="3">
        <v>21906</v>
      </c>
      <c r="C357" s="4">
        <v>39</v>
      </c>
      <c r="D357" s="15"/>
      <c r="E357" s="8"/>
    </row>
    <row r="358" spans="1:5" ht="15.75" customHeight="1">
      <c r="A358" s="4">
        <v>357</v>
      </c>
      <c r="B358" s="3">
        <v>21907</v>
      </c>
      <c r="C358" s="4">
        <v>40</v>
      </c>
      <c r="D358" s="15"/>
      <c r="E358" s="8"/>
    </row>
    <row r="359" spans="1:5" ht="15.75" customHeight="1">
      <c r="A359" s="4">
        <v>358</v>
      </c>
      <c r="B359" s="3">
        <v>21908</v>
      </c>
      <c r="C359" s="4">
        <v>38</v>
      </c>
      <c r="D359" s="15"/>
      <c r="E359" s="8"/>
    </row>
    <row r="360" spans="1:5" ht="15.75" customHeight="1">
      <c r="A360" s="4">
        <v>359</v>
      </c>
      <c r="B360" s="3">
        <v>21909</v>
      </c>
      <c r="C360" s="4">
        <v>44</v>
      </c>
      <c r="D360" s="15"/>
      <c r="E360" s="8"/>
    </row>
    <row r="361" spans="1:5" ht="15.75" customHeight="1">
      <c r="A361" s="4">
        <v>360</v>
      </c>
      <c r="B361" s="3">
        <v>21910</v>
      </c>
      <c r="C361" s="4">
        <v>34</v>
      </c>
      <c r="D361" s="15"/>
      <c r="E361" s="8"/>
    </row>
    <row r="362" spans="1:5" ht="15.75" customHeight="1">
      <c r="A362" s="4">
        <v>361</v>
      </c>
      <c r="B362" s="3">
        <v>21911</v>
      </c>
      <c r="C362" s="4">
        <v>37</v>
      </c>
      <c r="D362" s="15"/>
      <c r="E362" s="8"/>
    </row>
    <row r="363" spans="1:5" ht="15.75" customHeight="1">
      <c r="A363" s="4">
        <v>362</v>
      </c>
      <c r="B363" s="3">
        <v>21912</v>
      </c>
      <c r="C363" s="4">
        <v>52</v>
      </c>
      <c r="D363" s="15"/>
      <c r="E363" s="8"/>
    </row>
    <row r="364" spans="1:5" ht="15.75" customHeight="1">
      <c r="A364" s="4">
        <v>363</v>
      </c>
      <c r="B364" s="3">
        <v>21913</v>
      </c>
      <c r="C364" s="4">
        <v>48</v>
      </c>
      <c r="D364" s="15"/>
      <c r="E364" s="8"/>
    </row>
    <row r="365" spans="1:5" ht="15.75" customHeight="1">
      <c r="A365" s="4">
        <v>364</v>
      </c>
      <c r="B365" s="3">
        <v>21914</v>
      </c>
      <c r="C365" s="4">
        <v>55</v>
      </c>
      <c r="D365" s="15"/>
      <c r="E365" s="8"/>
    </row>
    <row r="366" spans="1:5" ht="15.75" customHeight="1">
      <c r="A366" s="4">
        <v>365</v>
      </c>
      <c r="B366" s="3">
        <v>21915</v>
      </c>
      <c r="C366" s="4">
        <v>50</v>
      </c>
      <c r="D366" s="15"/>
      <c r="E366" s="8"/>
    </row>
    <row r="367" spans="1:5" ht="15.75" customHeight="1">
      <c r="D367" s="15"/>
      <c r="E367" s="8"/>
    </row>
    <row r="368" spans="1:5" ht="15.75" customHeight="1">
      <c r="D368" s="15"/>
      <c r="E368" s="8"/>
    </row>
    <row r="369" spans="4:5" ht="15.75" customHeight="1">
      <c r="D369" s="15"/>
      <c r="E369" s="8"/>
    </row>
    <row r="370" spans="4:5" ht="15.75" customHeight="1">
      <c r="D370" s="15"/>
      <c r="E370" s="8"/>
    </row>
    <row r="371" spans="4:5" ht="15.75" customHeight="1">
      <c r="D371" s="15"/>
      <c r="E371" s="8"/>
    </row>
    <row r="372" spans="4:5" ht="15.75" customHeight="1">
      <c r="D372" s="15"/>
      <c r="E372" s="8"/>
    </row>
    <row r="373" spans="4:5" ht="15.75" customHeight="1">
      <c r="D373" s="15"/>
      <c r="E373" s="8"/>
    </row>
    <row r="374" spans="4:5" ht="15.75" customHeight="1">
      <c r="D374" s="15"/>
      <c r="E374" s="8"/>
    </row>
    <row r="375" spans="4:5" ht="15.75" customHeight="1">
      <c r="D375" s="15"/>
      <c r="E375" s="8"/>
    </row>
    <row r="376" spans="4:5" ht="15.75" customHeight="1">
      <c r="D376" s="15"/>
      <c r="E376" s="8"/>
    </row>
    <row r="377" spans="4:5" ht="15.75" customHeight="1">
      <c r="D377" s="15"/>
      <c r="E377" s="8"/>
    </row>
    <row r="378" spans="4:5" ht="15.75" customHeight="1">
      <c r="D378" s="15"/>
      <c r="E378" s="8"/>
    </row>
    <row r="379" spans="4:5" ht="15.75" customHeight="1">
      <c r="D379" s="15"/>
      <c r="E379" s="8"/>
    </row>
    <row r="380" spans="4:5" ht="15.75" customHeight="1">
      <c r="D380" s="15"/>
      <c r="E380" s="8"/>
    </row>
    <row r="381" spans="4:5" ht="15.75" customHeight="1">
      <c r="D381" s="15"/>
      <c r="E381" s="8"/>
    </row>
    <row r="382" spans="4:5" ht="15.75" customHeight="1">
      <c r="D382" s="15"/>
      <c r="E382" s="8"/>
    </row>
    <row r="383" spans="4:5" ht="15.75" customHeight="1">
      <c r="D383" s="15"/>
      <c r="E383" s="8"/>
    </row>
    <row r="384" spans="4:5" ht="15.75" customHeight="1">
      <c r="D384" s="15"/>
      <c r="E384" s="8"/>
    </row>
    <row r="385" spans="4:5" ht="15.75" customHeight="1">
      <c r="D385" s="15"/>
      <c r="E385" s="8"/>
    </row>
    <row r="386" spans="4:5" ht="15.75" customHeight="1">
      <c r="D386" s="15"/>
      <c r="E386" s="8"/>
    </row>
    <row r="387" spans="4:5" ht="15.75" customHeight="1">
      <c r="D387" s="15"/>
      <c r="E387" s="8"/>
    </row>
    <row r="388" spans="4:5" ht="15.75" customHeight="1">
      <c r="D388" s="15"/>
      <c r="E388" s="8"/>
    </row>
    <row r="389" spans="4:5" ht="15.75" customHeight="1">
      <c r="D389" s="15"/>
      <c r="E389" s="8"/>
    </row>
    <row r="390" spans="4:5" ht="15.75" customHeight="1">
      <c r="D390" s="15"/>
      <c r="E390" s="8"/>
    </row>
    <row r="391" spans="4:5" ht="15.75" customHeight="1">
      <c r="D391" s="15"/>
      <c r="E391" s="8"/>
    </row>
    <row r="392" spans="4:5" ht="15.75" customHeight="1">
      <c r="D392" s="15"/>
      <c r="E392" s="8"/>
    </row>
    <row r="393" spans="4:5" ht="15.75" customHeight="1">
      <c r="D393" s="15"/>
      <c r="E393" s="8"/>
    </row>
    <row r="394" spans="4:5" ht="15.75" customHeight="1">
      <c r="D394" s="15"/>
      <c r="E394" s="8"/>
    </row>
    <row r="395" spans="4:5" ht="15.75" customHeight="1">
      <c r="D395" s="15"/>
      <c r="E395" s="8"/>
    </row>
    <row r="396" spans="4:5" ht="15.75" customHeight="1">
      <c r="D396" s="15"/>
      <c r="E396" s="8"/>
    </row>
    <row r="397" spans="4:5" ht="15.75" customHeight="1">
      <c r="D397" s="15"/>
      <c r="E397" s="8"/>
    </row>
    <row r="398" spans="4:5" ht="15.75" customHeight="1">
      <c r="D398" s="15"/>
      <c r="E398" s="8"/>
    </row>
    <row r="399" spans="4:5" ht="15.75" customHeight="1">
      <c r="D399" s="15"/>
      <c r="E399" s="8"/>
    </row>
    <row r="400" spans="4:5" ht="15.75" customHeight="1">
      <c r="D400" s="15"/>
      <c r="E400" s="8"/>
    </row>
    <row r="401" spans="4:5" ht="15.75" customHeight="1">
      <c r="D401" s="15"/>
      <c r="E401" s="8"/>
    </row>
    <row r="402" spans="4:5" ht="15.75" customHeight="1">
      <c r="D402" s="15"/>
      <c r="E402" s="8"/>
    </row>
    <row r="403" spans="4:5" ht="15.75" customHeight="1">
      <c r="D403" s="15"/>
      <c r="E403" s="8"/>
    </row>
    <row r="404" spans="4:5" ht="15.75" customHeight="1">
      <c r="D404" s="15"/>
      <c r="E404" s="8"/>
    </row>
    <row r="405" spans="4:5" ht="15.75" customHeight="1">
      <c r="D405" s="15"/>
      <c r="E405" s="8"/>
    </row>
    <row r="406" spans="4:5" ht="15.75" customHeight="1">
      <c r="D406" s="15"/>
      <c r="E406" s="8"/>
    </row>
    <row r="407" spans="4:5" ht="15.75" customHeight="1">
      <c r="D407" s="15"/>
      <c r="E407" s="8"/>
    </row>
    <row r="408" spans="4:5" ht="15.75" customHeight="1">
      <c r="D408" s="15"/>
      <c r="E408" s="8"/>
    </row>
    <row r="409" spans="4:5" ht="15.75" customHeight="1">
      <c r="D409" s="15"/>
      <c r="E409" s="8"/>
    </row>
    <row r="410" spans="4:5" ht="15.75" customHeight="1">
      <c r="D410" s="15"/>
      <c r="E410" s="8"/>
    </row>
    <row r="411" spans="4:5" ht="15.75" customHeight="1">
      <c r="D411" s="15"/>
      <c r="E411" s="8"/>
    </row>
    <row r="412" spans="4:5" ht="15.75" customHeight="1">
      <c r="D412" s="15"/>
      <c r="E412" s="8"/>
    </row>
    <row r="413" spans="4:5" ht="15.75" customHeight="1">
      <c r="D413" s="15"/>
      <c r="E413" s="8"/>
    </row>
    <row r="414" spans="4:5" ht="15.75" customHeight="1">
      <c r="D414" s="15"/>
      <c r="E414" s="8"/>
    </row>
    <row r="415" spans="4:5" ht="15.75" customHeight="1">
      <c r="D415" s="15"/>
      <c r="E415" s="8"/>
    </row>
    <row r="416" spans="4:5" ht="15.75" customHeight="1">
      <c r="D416" s="15"/>
      <c r="E416" s="8"/>
    </row>
    <row r="417" spans="4:5" ht="15.75" customHeight="1">
      <c r="D417" s="15"/>
      <c r="E417" s="8"/>
    </row>
    <row r="418" spans="4:5" ht="15.75" customHeight="1">
      <c r="D418" s="15"/>
      <c r="E418" s="8"/>
    </row>
    <row r="419" spans="4:5" ht="15.75" customHeight="1">
      <c r="D419" s="15"/>
      <c r="E419" s="8"/>
    </row>
    <row r="420" spans="4:5" ht="15.75" customHeight="1">
      <c r="D420" s="15"/>
      <c r="E420" s="8"/>
    </row>
    <row r="421" spans="4:5" ht="15.75" customHeight="1">
      <c r="D421" s="15"/>
      <c r="E421" s="8"/>
    </row>
    <row r="422" spans="4:5" ht="15.75" customHeight="1">
      <c r="D422" s="15"/>
      <c r="E422" s="8"/>
    </row>
    <row r="423" spans="4:5" ht="15.75" customHeight="1">
      <c r="D423" s="15"/>
      <c r="E423" s="8"/>
    </row>
    <row r="424" spans="4:5" ht="15.75" customHeight="1">
      <c r="D424" s="15"/>
      <c r="E424" s="8"/>
    </row>
    <row r="425" spans="4:5" ht="15.75" customHeight="1">
      <c r="D425" s="15"/>
      <c r="E425" s="8"/>
    </row>
    <row r="426" spans="4:5" ht="15.75" customHeight="1">
      <c r="D426" s="15"/>
      <c r="E426" s="8"/>
    </row>
    <row r="427" spans="4:5" ht="15.75" customHeight="1">
      <c r="D427" s="15"/>
      <c r="E427" s="8"/>
    </row>
    <row r="428" spans="4:5" ht="15.75" customHeight="1">
      <c r="D428" s="15"/>
      <c r="E428" s="8"/>
    </row>
    <row r="429" spans="4:5" ht="15.75" customHeight="1">
      <c r="D429" s="15"/>
      <c r="E429" s="8"/>
    </row>
    <row r="430" spans="4:5" ht="15.75" customHeight="1">
      <c r="D430" s="15"/>
      <c r="E430" s="8"/>
    </row>
    <row r="431" spans="4:5" ht="15.75" customHeight="1">
      <c r="D431" s="15"/>
      <c r="E431" s="8"/>
    </row>
    <row r="432" spans="4:5" ht="15.75" customHeight="1">
      <c r="D432" s="15"/>
      <c r="E432" s="8"/>
    </row>
    <row r="433" spans="4:5" ht="15.75" customHeight="1">
      <c r="D433" s="15"/>
      <c r="E433" s="8"/>
    </row>
    <row r="434" spans="4:5" ht="15.75" customHeight="1">
      <c r="D434" s="15"/>
      <c r="E434" s="8"/>
    </row>
    <row r="435" spans="4:5" ht="15.75" customHeight="1">
      <c r="D435" s="15"/>
      <c r="E435" s="8"/>
    </row>
    <row r="436" spans="4:5" ht="15.75" customHeight="1">
      <c r="D436" s="15"/>
      <c r="E436" s="8"/>
    </row>
    <row r="437" spans="4:5" ht="15.75" customHeight="1">
      <c r="D437" s="15"/>
      <c r="E437" s="8"/>
    </row>
    <row r="438" spans="4:5" ht="15.75" customHeight="1">
      <c r="D438" s="15"/>
      <c r="E438" s="8"/>
    </row>
    <row r="439" spans="4:5" ht="15.75" customHeight="1">
      <c r="D439" s="15"/>
      <c r="E439" s="8"/>
    </row>
    <row r="440" spans="4:5" ht="15.75" customHeight="1">
      <c r="D440" s="15"/>
      <c r="E440" s="8"/>
    </row>
    <row r="441" spans="4:5" ht="15.75" customHeight="1">
      <c r="D441" s="15"/>
      <c r="E441" s="8"/>
    </row>
    <row r="442" spans="4:5" ht="15.75" customHeight="1">
      <c r="D442" s="15"/>
      <c r="E442" s="8"/>
    </row>
    <row r="443" spans="4:5" ht="15.75" customHeight="1">
      <c r="D443" s="15"/>
      <c r="E443" s="8"/>
    </row>
    <row r="444" spans="4:5" ht="15.75" customHeight="1">
      <c r="D444" s="15"/>
      <c r="E444" s="8"/>
    </row>
    <row r="445" spans="4:5" ht="15.75" customHeight="1">
      <c r="D445" s="15"/>
      <c r="E445" s="8"/>
    </row>
    <row r="446" spans="4:5" ht="15.75" customHeight="1">
      <c r="D446" s="15"/>
      <c r="E446" s="8"/>
    </row>
    <row r="447" spans="4:5" ht="15.75" customHeight="1">
      <c r="D447" s="15"/>
      <c r="E447" s="8"/>
    </row>
    <row r="448" spans="4:5" ht="15.75" customHeight="1">
      <c r="D448" s="15"/>
      <c r="E448" s="8"/>
    </row>
    <row r="449" spans="4:5" ht="15.75" customHeight="1">
      <c r="D449" s="15"/>
      <c r="E449" s="8"/>
    </row>
    <row r="450" spans="4:5" ht="15.75" customHeight="1">
      <c r="D450" s="15"/>
      <c r="E450" s="8"/>
    </row>
    <row r="451" spans="4:5" ht="15.75" customHeight="1">
      <c r="D451" s="15"/>
      <c r="E451" s="8"/>
    </row>
    <row r="452" spans="4:5" ht="15.75" customHeight="1">
      <c r="D452" s="15"/>
      <c r="E452" s="8"/>
    </row>
    <row r="453" spans="4:5" ht="15.75" customHeight="1">
      <c r="D453" s="15"/>
      <c r="E453" s="8"/>
    </row>
    <row r="454" spans="4:5" ht="15.75" customHeight="1">
      <c r="D454" s="15"/>
      <c r="E454" s="8"/>
    </row>
    <row r="455" spans="4:5" ht="15.75" customHeight="1">
      <c r="D455" s="15"/>
      <c r="E455" s="8"/>
    </row>
    <row r="456" spans="4:5" ht="15.75" customHeight="1">
      <c r="D456" s="15"/>
      <c r="E456" s="8"/>
    </row>
    <row r="457" spans="4:5" ht="15.75" customHeight="1">
      <c r="D457" s="15"/>
      <c r="E457" s="8"/>
    </row>
    <row r="458" spans="4:5" ht="15.75" customHeight="1">
      <c r="D458" s="15"/>
      <c r="E458" s="8"/>
    </row>
    <row r="459" spans="4:5" ht="15.75" customHeight="1">
      <c r="D459" s="15"/>
      <c r="E459" s="8"/>
    </row>
    <row r="460" spans="4:5" ht="15.75" customHeight="1">
      <c r="D460" s="15"/>
      <c r="E460" s="8"/>
    </row>
    <row r="461" spans="4:5" ht="15.75" customHeight="1">
      <c r="D461" s="15"/>
      <c r="E461" s="8"/>
    </row>
    <row r="462" spans="4:5" ht="15.75" customHeight="1">
      <c r="D462" s="15"/>
      <c r="E462" s="8"/>
    </row>
    <row r="463" spans="4:5" ht="15.75" customHeight="1">
      <c r="D463" s="15"/>
      <c r="E463" s="8"/>
    </row>
    <row r="464" spans="4:5" ht="15.75" customHeight="1">
      <c r="D464" s="15"/>
      <c r="E464" s="8"/>
    </row>
    <row r="465" spans="4:5" ht="15.75" customHeight="1">
      <c r="D465" s="15"/>
      <c r="E465" s="8"/>
    </row>
    <row r="466" spans="4:5" ht="15.75" customHeight="1">
      <c r="D466" s="15"/>
      <c r="E466" s="8"/>
    </row>
    <row r="467" spans="4:5" ht="15.75" customHeight="1">
      <c r="D467" s="15"/>
      <c r="E467" s="8"/>
    </row>
    <row r="468" spans="4:5" ht="15.75" customHeight="1">
      <c r="D468" s="15"/>
      <c r="E468" s="8"/>
    </row>
    <row r="469" spans="4:5" ht="15.75" customHeight="1">
      <c r="D469" s="15"/>
      <c r="E469" s="8"/>
    </row>
    <row r="470" spans="4:5" ht="15.75" customHeight="1">
      <c r="D470" s="15"/>
      <c r="E470" s="8"/>
    </row>
    <row r="471" spans="4:5" ht="15.75" customHeight="1">
      <c r="D471" s="15"/>
      <c r="E471" s="8"/>
    </row>
    <row r="472" spans="4:5" ht="15.75" customHeight="1">
      <c r="D472" s="15"/>
      <c r="E472" s="8"/>
    </row>
    <row r="473" spans="4:5" ht="15.75" customHeight="1">
      <c r="D473" s="15"/>
      <c r="E473" s="8"/>
    </row>
    <row r="474" spans="4:5" ht="15.75" customHeight="1">
      <c r="D474" s="15"/>
      <c r="E474" s="8"/>
    </row>
    <row r="475" spans="4:5" ht="15.75" customHeight="1">
      <c r="D475" s="15"/>
      <c r="E475" s="8"/>
    </row>
    <row r="476" spans="4:5" ht="15.75" customHeight="1">
      <c r="D476" s="15"/>
      <c r="E476" s="8"/>
    </row>
    <row r="477" spans="4:5" ht="15.75" customHeight="1">
      <c r="D477" s="15"/>
      <c r="E477" s="8"/>
    </row>
    <row r="478" spans="4:5" ht="15.75" customHeight="1">
      <c r="D478" s="15"/>
      <c r="E478" s="8"/>
    </row>
    <row r="479" spans="4:5" ht="15.75" customHeight="1">
      <c r="D479" s="15"/>
      <c r="E479" s="8"/>
    </row>
    <row r="480" spans="4:5" ht="15.75" customHeight="1">
      <c r="D480" s="15"/>
      <c r="E480" s="8"/>
    </row>
    <row r="481" spans="4:5" ht="15.75" customHeight="1">
      <c r="D481" s="15"/>
      <c r="E481" s="8"/>
    </row>
    <row r="482" spans="4:5" ht="15.75" customHeight="1">
      <c r="D482" s="15"/>
      <c r="E482" s="8"/>
    </row>
    <row r="483" spans="4:5" ht="15.75" customHeight="1">
      <c r="D483" s="15"/>
      <c r="E483" s="8"/>
    </row>
    <row r="484" spans="4:5" ht="15.75" customHeight="1">
      <c r="D484" s="15"/>
      <c r="E484" s="8"/>
    </row>
    <row r="485" spans="4:5" ht="15.75" customHeight="1">
      <c r="D485" s="15"/>
      <c r="E485" s="8"/>
    </row>
    <row r="486" spans="4:5" ht="15.75" customHeight="1">
      <c r="D486" s="15"/>
      <c r="E486" s="8"/>
    </row>
    <row r="487" spans="4:5" ht="15.75" customHeight="1">
      <c r="D487" s="15"/>
      <c r="E487" s="8"/>
    </row>
    <row r="488" spans="4:5" ht="15.75" customHeight="1">
      <c r="D488" s="15"/>
      <c r="E488" s="8"/>
    </row>
    <row r="489" spans="4:5" ht="15.75" customHeight="1">
      <c r="D489" s="15"/>
      <c r="E489" s="8"/>
    </row>
    <row r="490" spans="4:5" ht="15.75" customHeight="1">
      <c r="D490" s="15"/>
      <c r="E490" s="8"/>
    </row>
    <row r="491" spans="4:5" ht="15.75" customHeight="1">
      <c r="D491" s="15"/>
      <c r="E491" s="8"/>
    </row>
    <row r="492" spans="4:5" ht="15.75" customHeight="1">
      <c r="D492" s="15"/>
      <c r="E492" s="8"/>
    </row>
    <row r="493" spans="4:5" ht="15.75" customHeight="1">
      <c r="D493" s="15"/>
      <c r="E493" s="8"/>
    </row>
    <row r="494" spans="4:5" ht="15.75" customHeight="1">
      <c r="D494" s="15"/>
      <c r="E494" s="8"/>
    </row>
    <row r="495" spans="4:5" ht="15.75" customHeight="1">
      <c r="D495" s="15"/>
      <c r="E495" s="8"/>
    </row>
    <row r="496" spans="4:5" ht="15.75" customHeight="1">
      <c r="D496" s="15"/>
      <c r="E496" s="8"/>
    </row>
    <row r="497" spans="4:5" ht="15.75" customHeight="1">
      <c r="D497" s="15"/>
      <c r="E497" s="8"/>
    </row>
    <row r="498" spans="4:5" ht="15.75" customHeight="1">
      <c r="D498" s="15"/>
      <c r="E498" s="8"/>
    </row>
    <row r="499" spans="4:5" ht="15.75" customHeight="1">
      <c r="D499" s="15"/>
      <c r="E499" s="8"/>
    </row>
    <row r="500" spans="4:5" ht="15.75" customHeight="1">
      <c r="D500" s="15"/>
      <c r="E500" s="8"/>
    </row>
    <row r="501" spans="4:5" ht="15.75" customHeight="1">
      <c r="D501" s="15"/>
      <c r="E501" s="8"/>
    </row>
    <row r="502" spans="4:5" ht="15.75" customHeight="1">
      <c r="D502" s="15"/>
      <c r="E502" s="8"/>
    </row>
    <row r="503" spans="4:5" ht="15.75" customHeight="1">
      <c r="D503" s="15"/>
      <c r="E503" s="8"/>
    </row>
    <row r="504" spans="4:5" ht="15.75" customHeight="1">
      <c r="D504" s="15"/>
      <c r="E504" s="8"/>
    </row>
    <row r="505" spans="4:5" ht="15.75" customHeight="1">
      <c r="D505" s="15"/>
      <c r="E505" s="8"/>
    </row>
    <row r="506" spans="4:5" ht="15.75" customHeight="1">
      <c r="D506" s="15"/>
      <c r="E506" s="8"/>
    </row>
    <row r="507" spans="4:5" ht="15.75" customHeight="1">
      <c r="D507" s="15"/>
      <c r="E507" s="8"/>
    </row>
    <row r="508" spans="4:5" ht="15.75" customHeight="1">
      <c r="D508" s="15"/>
      <c r="E508" s="8"/>
    </row>
    <row r="509" spans="4:5" ht="15.75" customHeight="1">
      <c r="D509" s="15"/>
      <c r="E509" s="8"/>
    </row>
    <row r="510" spans="4:5" ht="15.75" customHeight="1">
      <c r="D510" s="15"/>
      <c r="E510" s="8"/>
    </row>
    <row r="511" spans="4:5" ht="15.75" customHeight="1">
      <c r="D511" s="15"/>
      <c r="E511" s="8"/>
    </row>
    <row r="512" spans="4:5" ht="15.75" customHeight="1">
      <c r="D512" s="15"/>
      <c r="E512" s="8"/>
    </row>
    <row r="513" spans="4:5" ht="15.75" customHeight="1">
      <c r="D513" s="15"/>
      <c r="E513" s="8"/>
    </row>
    <row r="514" spans="4:5" ht="15.75" customHeight="1">
      <c r="D514" s="15"/>
      <c r="E514" s="8"/>
    </row>
    <row r="515" spans="4:5" ht="15.75" customHeight="1">
      <c r="D515" s="15"/>
      <c r="E515" s="8"/>
    </row>
    <row r="516" spans="4:5" ht="15.75" customHeight="1">
      <c r="D516" s="15"/>
      <c r="E516" s="8"/>
    </row>
    <row r="517" spans="4:5" ht="15.75" customHeight="1">
      <c r="D517" s="15"/>
      <c r="E517" s="8"/>
    </row>
    <row r="518" spans="4:5" ht="15.75" customHeight="1">
      <c r="D518" s="15"/>
      <c r="E518" s="8"/>
    </row>
    <row r="519" spans="4:5" ht="15.75" customHeight="1">
      <c r="D519" s="15"/>
      <c r="E519" s="8"/>
    </row>
    <row r="520" spans="4:5" ht="15.75" customHeight="1">
      <c r="D520" s="15"/>
      <c r="E520" s="8"/>
    </row>
    <row r="521" spans="4:5" ht="15.75" customHeight="1">
      <c r="D521" s="15"/>
      <c r="E521" s="8"/>
    </row>
    <row r="522" spans="4:5" ht="15.75" customHeight="1">
      <c r="D522" s="15"/>
      <c r="E522" s="8"/>
    </row>
    <row r="523" spans="4:5" ht="15.75" customHeight="1">
      <c r="D523" s="15"/>
      <c r="E523" s="8"/>
    </row>
    <row r="524" spans="4:5" ht="15.75" customHeight="1">
      <c r="D524" s="15"/>
      <c r="E524" s="8"/>
    </row>
    <row r="525" spans="4:5" ht="15.75" customHeight="1">
      <c r="D525" s="15"/>
      <c r="E525" s="8"/>
    </row>
    <row r="526" spans="4:5" ht="15.75" customHeight="1">
      <c r="D526" s="15"/>
      <c r="E526" s="8"/>
    </row>
    <row r="527" spans="4:5" ht="15.75" customHeight="1">
      <c r="D527" s="15"/>
      <c r="E527" s="8"/>
    </row>
    <row r="528" spans="4:5" ht="15.75" customHeight="1">
      <c r="D528" s="15"/>
      <c r="E528" s="8"/>
    </row>
    <row r="529" spans="4:5" ht="15.75" customHeight="1">
      <c r="D529" s="15"/>
      <c r="E529" s="8"/>
    </row>
    <row r="530" spans="4:5" ht="15.75" customHeight="1">
      <c r="D530" s="15"/>
      <c r="E530" s="8"/>
    </row>
    <row r="531" spans="4:5" ht="15.75" customHeight="1">
      <c r="D531" s="15"/>
      <c r="E531" s="8"/>
    </row>
    <row r="532" spans="4:5" ht="15.75" customHeight="1">
      <c r="D532" s="15"/>
      <c r="E532" s="8"/>
    </row>
    <row r="533" spans="4:5" ht="15.75" customHeight="1">
      <c r="D533" s="15"/>
      <c r="E533" s="8"/>
    </row>
    <row r="534" spans="4:5" ht="15.75" customHeight="1">
      <c r="D534" s="15"/>
      <c r="E534" s="8"/>
    </row>
    <row r="535" spans="4:5" ht="15.75" customHeight="1">
      <c r="D535" s="15"/>
      <c r="E535" s="8"/>
    </row>
    <row r="536" spans="4:5" ht="15.75" customHeight="1">
      <c r="D536" s="15"/>
      <c r="E536" s="8"/>
    </row>
    <row r="537" spans="4:5" ht="15.75" customHeight="1">
      <c r="D537" s="15"/>
      <c r="E537" s="8"/>
    </row>
    <row r="538" spans="4:5" ht="15.75" customHeight="1">
      <c r="D538" s="15"/>
      <c r="E538" s="8"/>
    </row>
    <row r="539" spans="4:5" ht="15.75" customHeight="1">
      <c r="D539" s="15"/>
      <c r="E539" s="8"/>
    </row>
    <row r="540" spans="4:5" ht="15.75" customHeight="1">
      <c r="D540" s="15"/>
      <c r="E540" s="8"/>
    </row>
    <row r="541" spans="4:5" ht="15.75" customHeight="1">
      <c r="D541" s="15"/>
      <c r="E541" s="8"/>
    </row>
    <row r="542" spans="4:5" ht="15.75" customHeight="1">
      <c r="D542" s="15"/>
      <c r="E542" s="8"/>
    </row>
    <row r="543" spans="4:5" ht="15.75" customHeight="1">
      <c r="D543" s="15"/>
      <c r="E543" s="8"/>
    </row>
    <row r="544" spans="4:5" ht="15.75" customHeight="1">
      <c r="D544" s="15"/>
      <c r="E544" s="8"/>
    </row>
    <row r="545" spans="4:5" ht="15.75" customHeight="1">
      <c r="D545" s="15"/>
      <c r="E545" s="8"/>
    </row>
    <row r="546" spans="4:5" ht="15.75" customHeight="1">
      <c r="D546" s="15"/>
      <c r="E546" s="8"/>
    </row>
    <row r="547" spans="4:5" ht="15.75" customHeight="1">
      <c r="D547" s="15"/>
      <c r="E547" s="8"/>
    </row>
    <row r="548" spans="4:5" ht="15.75" customHeight="1">
      <c r="D548" s="15"/>
      <c r="E548" s="8"/>
    </row>
    <row r="549" spans="4:5" ht="15.75" customHeight="1">
      <c r="D549" s="15"/>
      <c r="E549" s="8"/>
    </row>
    <row r="550" spans="4:5" ht="15.75" customHeight="1">
      <c r="D550" s="15"/>
      <c r="E550" s="8"/>
    </row>
    <row r="551" spans="4:5" ht="15.75" customHeight="1">
      <c r="D551" s="15"/>
      <c r="E551" s="8"/>
    </row>
    <row r="552" spans="4:5" ht="15.75" customHeight="1">
      <c r="D552" s="15"/>
      <c r="E552" s="8"/>
    </row>
    <row r="553" spans="4:5" ht="15.75" customHeight="1">
      <c r="D553" s="15"/>
      <c r="E553" s="8"/>
    </row>
    <row r="554" spans="4:5" ht="15.75" customHeight="1">
      <c r="D554" s="15"/>
      <c r="E554" s="8"/>
    </row>
    <row r="555" spans="4:5" ht="15.75" customHeight="1">
      <c r="D555" s="15"/>
      <c r="E555" s="8"/>
    </row>
    <row r="556" spans="4:5" ht="15.75" customHeight="1">
      <c r="D556" s="15"/>
      <c r="E556" s="8"/>
    </row>
    <row r="557" spans="4:5" ht="15.75" customHeight="1">
      <c r="D557" s="15"/>
      <c r="E557" s="8"/>
    </row>
    <row r="558" spans="4:5" ht="15.75" customHeight="1">
      <c r="D558" s="15"/>
      <c r="E558" s="8"/>
    </row>
    <row r="559" spans="4:5" ht="15.75" customHeight="1">
      <c r="D559" s="15"/>
      <c r="E559" s="8"/>
    </row>
    <row r="560" spans="4:5" ht="15.75" customHeight="1">
      <c r="D560" s="15"/>
      <c r="E560" s="8"/>
    </row>
    <row r="561" spans="4:5" ht="15.75" customHeight="1">
      <c r="D561" s="15"/>
      <c r="E561" s="8"/>
    </row>
    <row r="562" spans="4:5" ht="15.75" customHeight="1">
      <c r="D562" s="15"/>
      <c r="E562" s="8"/>
    </row>
    <row r="563" spans="4:5" ht="15.75" customHeight="1">
      <c r="D563" s="15"/>
      <c r="E563" s="8"/>
    </row>
    <row r="564" spans="4:5" ht="15.75" customHeight="1">
      <c r="D564" s="15"/>
      <c r="E564" s="8"/>
    </row>
    <row r="565" spans="4:5" ht="15.75" customHeight="1">
      <c r="D565" s="15"/>
      <c r="E565" s="8"/>
    </row>
    <row r="566" spans="4:5" ht="15.75" customHeight="1">
      <c r="D566" s="15"/>
      <c r="E566" s="8"/>
    </row>
    <row r="567" spans="4:5" ht="15.75" customHeight="1">
      <c r="D567" s="15"/>
      <c r="E567" s="8"/>
    </row>
    <row r="568" spans="4:5" ht="15.75" customHeight="1">
      <c r="D568" s="15"/>
      <c r="E568" s="8"/>
    </row>
    <row r="569" spans="4:5" ht="15.75" customHeight="1">
      <c r="D569" s="15"/>
      <c r="E569" s="8"/>
    </row>
    <row r="570" spans="4:5" ht="15.75" customHeight="1">
      <c r="D570" s="15"/>
      <c r="E570" s="8"/>
    </row>
    <row r="571" spans="4:5" ht="15.75" customHeight="1">
      <c r="D571" s="15"/>
      <c r="E571" s="8"/>
    </row>
    <row r="572" spans="4:5" ht="15.75" customHeight="1">
      <c r="D572" s="15"/>
      <c r="E572" s="8"/>
    </row>
    <row r="573" spans="4:5" ht="15.75" customHeight="1">
      <c r="D573" s="15"/>
      <c r="E573" s="8"/>
    </row>
    <row r="574" spans="4:5" ht="15.75" customHeight="1">
      <c r="D574" s="15"/>
      <c r="E574" s="8"/>
    </row>
    <row r="575" spans="4:5" ht="15.75" customHeight="1">
      <c r="D575" s="15"/>
      <c r="E575" s="8"/>
    </row>
    <row r="576" spans="4:5" ht="15.75" customHeight="1">
      <c r="D576" s="15"/>
      <c r="E576" s="8"/>
    </row>
    <row r="577" spans="4:5" ht="15.75" customHeight="1">
      <c r="D577" s="15"/>
      <c r="E577" s="8"/>
    </row>
    <row r="578" spans="4:5" ht="15.75" customHeight="1">
      <c r="D578" s="15"/>
      <c r="E578" s="8"/>
    </row>
    <row r="579" spans="4:5" ht="15.75" customHeight="1">
      <c r="D579" s="15"/>
      <c r="E579" s="8"/>
    </row>
    <row r="580" spans="4:5" ht="15.75" customHeight="1">
      <c r="D580" s="15"/>
      <c r="E580" s="8"/>
    </row>
    <row r="581" spans="4:5" ht="15.75" customHeight="1">
      <c r="D581" s="15"/>
      <c r="E581" s="8"/>
    </row>
    <row r="582" spans="4:5" ht="15.75" customHeight="1">
      <c r="D582" s="15"/>
      <c r="E582" s="8"/>
    </row>
    <row r="583" spans="4:5" ht="15.75" customHeight="1">
      <c r="D583" s="15"/>
      <c r="E583" s="8"/>
    </row>
    <row r="584" spans="4:5" ht="15.75" customHeight="1">
      <c r="D584" s="15"/>
      <c r="E584" s="8"/>
    </row>
    <row r="585" spans="4:5" ht="15.75" customHeight="1">
      <c r="D585" s="15"/>
      <c r="E585" s="8"/>
    </row>
    <row r="586" spans="4:5" ht="15.75" customHeight="1">
      <c r="D586" s="15"/>
      <c r="E586" s="8"/>
    </row>
    <row r="587" spans="4:5" ht="15.75" customHeight="1">
      <c r="D587" s="15"/>
      <c r="E587" s="8"/>
    </row>
    <row r="588" spans="4:5" ht="15.75" customHeight="1">
      <c r="D588" s="15"/>
      <c r="E588" s="8"/>
    </row>
    <row r="589" spans="4:5" ht="15.75" customHeight="1">
      <c r="D589" s="15"/>
      <c r="E589" s="8"/>
    </row>
    <row r="590" spans="4:5" ht="15.75" customHeight="1">
      <c r="D590" s="15"/>
      <c r="E590" s="8"/>
    </row>
    <row r="591" spans="4:5" ht="15.75" customHeight="1">
      <c r="D591" s="15"/>
      <c r="E591" s="8"/>
    </row>
    <row r="592" spans="4:5" ht="15.75" customHeight="1">
      <c r="D592" s="15"/>
      <c r="E592" s="8"/>
    </row>
    <row r="593" spans="4:5" ht="15.75" customHeight="1">
      <c r="D593" s="15"/>
      <c r="E593" s="8"/>
    </row>
    <row r="594" spans="4:5" ht="15.75" customHeight="1">
      <c r="D594" s="15"/>
      <c r="E594" s="8"/>
    </row>
    <row r="595" spans="4:5" ht="15.75" customHeight="1">
      <c r="D595" s="15"/>
      <c r="E595" s="8"/>
    </row>
    <row r="596" spans="4:5" ht="15.75" customHeight="1">
      <c r="D596" s="15"/>
      <c r="E596" s="8"/>
    </row>
    <row r="597" spans="4:5" ht="15.75" customHeight="1">
      <c r="D597" s="15"/>
      <c r="E597" s="8"/>
    </row>
    <row r="598" spans="4:5" ht="15.75" customHeight="1">
      <c r="D598" s="15"/>
      <c r="E598" s="8"/>
    </row>
    <row r="599" spans="4:5" ht="15.75" customHeight="1">
      <c r="D599" s="15"/>
      <c r="E599" s="8"/>
    </row>
    <row r="600" spans="4:5" ht="15.75" customHeight="1">
      <c r="D600" s="15"/>
      <c r="E600" s="8"/>
    </row>
    <row r="601" spans="4:5" ht="15.75" customHeight="1">
      <c r="D601" s="15"/>
      <c r="E601" s="8"/>
    </row>
    <row r="602" spans="4:5" ht="15.75" customHeight="1">
      <c r="D602" s="15"/>
      <c r="E602" s="8"/>
    </row>
    <row r="603" spans="4:5" ht="15.75" customHeight="1">
      <c r="D603" s="15"/>
      <c r="E603" s="8"/>
    </row>
    <row r="604" spans="4:5" ht="15.75" customHeight="1">
      <c r="D604" s="15"/>
      <c r="E604" s="8"/>
    </row>
    <row r="605" spans="4:5" ht="15.75" customHeight="1">
      <c r="D605" s="15"/>
      <c r="E605" s="8"/>
    </row>
    <row r="606" spans="4:5" ht="15.75" customHeight="1">
      <c r="D606" s="15"/>
      <c r="E606" s="8"/>
    </row>
    <row r="607" spans="4:5" ht="15.75" customHeight="1">
      <c r="D607" s="15"/>
      <c r="E607" s="8"/>
    </row>
    <row r="608" spans="4:5" ht="15.75" customHeight="1">
      <c r="D608" s="15"/>
      <c r="E608" s="8"/>
    </row>
    <row r="609" spans="4:5" ht="15.75" customHeight="1">
      <c r="D609" s="15"/>
      <c r="E609" s="8"/>
    </row>
    <row r="610" spans="4:5" ht="15.75" customHeight="1">
      <c r="D610" s="15"/>
      <c r="E610" s="8"/>
    </row>
    <row r="611" spans="4:5" ht="15.75" customHeight="1">
      <c r="D611" s="15"/>
      <c r="E611" s="8"/>
    </row>
    <row r="612" spans="4:5" ht="15.75" customHeight="1">
      <c r="D612" s="15"/>
      <c r="E612" s="8"/>
    </row>
    <row r="613" spans="4:5" ht="15.75" customHeight="1">
      <c r="D613" s="15"/>
      <c r="E613" s="8"/>
    </row>
    <row r="614" spans="4:5" ht="15.75" customHeight="1">
      <c r="D614" s="15"/>
      <c r="E614" s="8"/>
    </row>
    <row r="615" spans="4:5" ht="15.75" customHeight="1">
      <c r="D615" s="15"/>
      <c r="E615" s="8"/>
    </row>
    <row r="616" spans="4:5" ht="15.75" customHeight="1">
      <c r="D616" s="15"/>
      <c r="E616" s="8"/>
    </row>
    <row r="617" spans="4:5" ht="15.75" customHeight="1">
      <c r="D617" s="15"/>
      <c r="E617" s="8"/>
    </row>
    <row r="618" spans="4:5" ht="15.75" customHeight="1">
      <c r="D618" s="15"/>
      <c r="E618" s="8"/>
    </row>
    <row r="619" spans="4:5" ht="15.75" customHeight="1">
      <c r="D619" s="15"/>
      <c r="E619" s="8"/>
    </row>
    <row r="620" spans="4:5" ht="15.75" customHeight="1">
      <c r="D620" s="15"/>
      <c r="E620" s="8"/>
    </row>
    <row r="621" spans="4:5" ht="15.75" customHeight="1">
      <c r="D621" s="15"/>
      <c r="E621" s="8"/>
    </row>
    <row r="622" spans="4:5" ht="15.75" customHeight="1">
      <c r="D622" s="15"/>
      <c r="E622" s="8"/>
    </row>
    <row r="623" spans="4:5" ht="15.75" customHeight="1">
      <c r="D623" s="15"/>
      <c r="E623" s="8"/>
    </row>
    <row r="624" spans="4:5" ht="15.75" customHeight="1">
      <c r="D624" s="15"/>
      <c r="E624" s="8"/>
    </row>
    <row r="625" spans="4:5" ht="15.75" customHeight="1">
      <c r="D625" s="15"/>
      <c r="E625" s="8"/>
    </row>
    <row r="626" spans="4:5" ht="15.75" customHeight="1">
      <c r="D626" s="15"/>
      <c r="E626" s="8"/>
    </row>
    <row r="627" spans="4:5" ht="15.75" customHeight="1">
      <c r="D627" s="15"/>
      <c r="E627" s="8"/>
    </row>
    <row r="628" spans="4:5" ht="15.75" customHeight="1">
      <c r="D628" s="15"/>
      <c r="E628" s="8"/>
    </row>
    <row r="629" spans="4:5" ht="15.75" customHeight="1">
      <c r="D629" s="15"/>
      <c r="E629" s="8"/>
    </row>
    <row r="630" spans="4:5" ht="15.75" customHeight="1">
      <c r="D630" s="15"/>
      <c r="E630" s="8"/>
    </row>
    <row r="631" spans="4:5" ht="15.75" customHeight="1">
      <c r="D631" s="15"/>
      <c r="E631" s="8"/>
    </row>
    <row r="632" spans="4:5" ht="15.75" customHeight="1">
      <c r="D632" s="15"/>
      <c r="E632" s="8"/>
    </row>
    <row r="633" spans="4:5" ht="15.75" customHeight="1">
      <c r="D633" s="15"/>
      <c r="E633" s="8"/>
    </row>
    <row r="634" spans="4:5" ht="15.75" customHeight="1">
      <c r="D634" s="15"/>
      <c r="E634" s="8"/>
    </row>
    <row r="635" spans="4:5" ht="15.75" customHeight="1">
      <c r="D635" s="15"/>
      <c r="E635" s="8"/>
    </row>
    <row r="636" spans="4:5" ht="15.75" customHeight="1">
      <c r="D636" s="15"/>
      <c r="E636" s="8"/>
    </row>
    <row r="637" spans="4:5" ht="15.75" customHeight="1">
      <c r="D637" s="15"/>
      <c r="E637" s="8"/>
    </row>
    <row r="638" spans="4:5" ht="15.75" customHeight="1">
      <c r="D638" s="15"/>
      <c r="E638" s="8"/>
    </row>
    <row r="639" spans="4:5" ht="15.75" customHeight="1">
      <c r="D639" s="15"/>
      <c r="E639" s="8"/>
    </row>
    <row r="640" spans="4:5" ht="15.75" customHeight="1">
      <c r="D640" s="15"/>
      <c r="E640" s="8"/>
    </row>
    <row r="641" spans="4:5" ht="15.75" customHeight="1">
      <c r="D641" s="15"/>
      <c r="E641" s="8"/>
    </row>
    <row r="642" spans="4:5" ht="15.75" customHeight="1">
      <c r="D642" s="15"/>
      <c r="E642" s="8"/>
    </row>
    <row r="643" spans="4:5" ht="15.75" customHeight="1">
      <c r="D643" s="15"/>
      <c r="E643" s="8"/>
    </row>
    <row r="644" spans="4:5" ht="15.75" customHeight="1">
      <c r="D644" s="15"/>
      <c r="E644" s="8"/>
    </row>
    <row r="645" spans="4:5" ht="15.75" customHeight="1">
      <c r="D645" s="15"/>
      <c r="E645" s="8"/>
    </row>
    <row r="646" spans="4:5" ht="15.75" customHeight="1">
      <c r="D646" s="15"/>
      <c r="E646" s="8"/>
    </row>
    <row r="647" spans="4:5" ht="15.75" customHeight="1">
      <c r="D647" s="15"/>
      <c r="E647" s="8"/>
    </row>
    <row r="648" spans="4:5" ht="15.75" customHeight="1">
      <c r="D648" s="15"/>
      <c r="E648" s="8"/>
    </row>
    <row r="649" spans="4:5" ht="15.75" customHeight="1">
      <c r="D649" s="15"/>
      <c r="E649" s="8"/>
    </row>
    <row r="650" spans="4:5" ht="15.75" customHeight="1">
      <c r="D650" s="15"/>
      <c r="E650" s="8"/>
    </row>
    <row r="651" spans="4:5" ht="15.75" customHeight="1">
      <c r="D651" s="15"/>
      <c r="E651" s="8"/>
    </row>
    <row r="652" spans="4:5" ht="15.75" customHeight="1">
      <c r="D652" s="15"/>
      <c r="E652" s="8"/>
    </row>
    <row r="653" spans="4:5" ht="15.75" customHeight="1">
      <c r="D653" s="15"/>
      <c r="E653" s="8"/>
    </row>
    <row r="654" spans="4:5" ht="15.75" customHeight="1">
      <c r="D654" s="15"/>
      <c r="E654" s="8"/>
    </row>
    <row r="655" spans="4:5" ht="15.75" customHeight="1">
      <c r="D655" s="15"/>
      <c r="E655" s="8"/>
    </row>
    <row r="656" spans="4:5" ht="15.75" customHeight="1">
      <c r="D656" s="15"/>
      <c r="E656" s="8"/>
    </row>
    <row r="657" spans="4:5" ht="15.75" customHeight="1">
      <c r="D657" s="15"/>
      <c r="E657" s="8"/>
    </row>
    <row r="658" spans="4:5" ht="15.75" customHeight="1">
      <c r="D658" s="15"/>
      <c r="E658" s="8"/>
    </row>
    <row r="659" spans="4:5" ht="15.75" customHeight="1">
      <c r="D659" s="15"/>
      <c r="E659" s="8"/>
    </row>
    <row r="660" spans="4:5" ht="15.75" customHeight="1">
      <c r="D660" s="15"/>
      <c r="E660" s="8"/>
    </row>
    <row r="661" spans="4:5" ht="15.75" customHeight="1">
      <c r="D661" s="15"/>
      <c r="E661" s="8"/>
    </row>
    <row r="662" spans="4:5" ht="15.75" customHeight="1">
      <c r="D662" s="15"/>
      <c r="E662" s="8"/>
    </row>
    <row r="663" spans="4:5" ht="15.75" customHeight="1">
      <c r="D663" s="15"/>
      <c r="E663" s="8"/>
    </row>
    <row r="664" spans="4:5" ht="15.75" customHeight="1">
      <c r="D664" s="15"/>
      <c r="E664" s="8"/>
    </row>
    <row r="665" spans="4:5" ht="15.75" customHeight="1">
      <c r="D665" s="15"/>
      <c r="E665" s="8"/>
    </row>
    <row r="666" spans="4:5" ht="15.75" customHeight="1">
      <c r="D666" s="15"/>
      <c r="E666" s="8"/>
    </row>
    <row r="667" spans="4:5" ht="15.75" customHeight="1">
      <c r="D667" s="15"/>
      <c r="E667" s="8"/>
    </row>
    <row r="668" spans="4:5" ht="15.75" customHeight="1">
      <c r="D668" s="15"/>
      <c r="E668" s="8"/>
    </row>
    <row r="669" spans="4:5" ht="15.75" customHeight="1">
      <c r="D669" s="15"/>
      <c r="E669" s="8"/>
    </row>
    <row r="670" spans="4:5" ht="15.75" customHeight="1">
      <c r="D670" s="15"/>
      <c r="E670" s="8"/>
    </row>
    <row r="671" spans="4:5" ht="15.75" customHeight="1">
      <c r="D671" s="15"/>
      <c r="E671" s="8"/>
    </row>
    <row r="672" spans="4:5" ht="15.75" customHeight="1">
      <c r="D672" s="15"/>
      <c r="E672" s="8"/>
    </row>
    <row r="673" spans="4:5" ht="15.75" customHeight="1">
      <c r="D673" s="15"/>
      <c r="E673" s="8"/>
    </row>
    <row r="674" spans="4:5" ht="15.75" customHeight="1">
      <c r="D674" s="15"/>
      <c r="E674" s="8"/>
    </row>
    <row r="675" spans="4:5" ht="15.75" customHeight="1">
      <c r="D675" s="15"/>
      <c r="E675" s="8"/>
    </row>
    <row r="676" spans="4:5" ht="15.75" customHeight="1">
      <c r="D676" s="15"/>
      <c r="E676" s="8"/>
    </row>
    <row r="677" spans="4:5" ht="15.75" customHeight="1">
      <c r="D677" s="15"/>
      <c r="E677" s="8"/>
    </row>
    <row r="678" spans="4:5" ht="15.75" customHeight="1">
      <c r="D678" s="15"/>
      <c r="E678" s="8"/>
    </row>
    <row r="679" spans="4:5" ht="15.75" customHeight="1">
      <c r="D679" s="15"/>
      <c r="E679" s="8"/>
    </row>
    <row r="680" spans="4:5" ht="15.75" customHeight="1">
      <c r="D680" s="15"/>
      <c r="E680" s="8"/>
    </row>
    <row r="681" spans="4:5" ht="15.75" customHeight="1">
      <c r="D681" s="15"/>
      <c r="E681" s="8"/>
    </row>
    <row r="682" spans="4:5" ht="15.75" customHeight="1">
      <c r="D682" s="15"/>
      <c r="E682" s="8"/>
    </row>
    <row r="683" spans="4:5" ht="15.75" customHeight="1">
      <c r="D683" s="15"/>
      <c r="E683" s="8"/>
    </row>
    <row r="684" spans="4:5" ht="15.75" customHeight="1">
      <c r="D684" s="15"/>
      <c r="E684" s="8"/>
    </row>
    <row r="685" spans="4:5" ht="15.75" customHeight="1">
      <c r="D685" s="15"/>
      <c r="E685" s="8"/>
    </row>
    <row r="686" spans="4:5" ht="15.75" customHeight="1">
      <c r="D686" s="15"/>
      <c r="E686" s="8"/>
    </row>
    <row r="687" spans="4:5" ht="15.75" customHeight="1">
      <c r="D687" s="15"/>
      <c r="E687" s="8"/>
    </row>
    <row r="688" spans="4:5" ht="15.75" customHeight="1">
      <c r="D688" s="15"/>
      <c r="E688" s="8"/>
    </row>
    <row r="689" spans="4:5" ht="15.75" customHeight="1">
      <c r="D689" s="15"/>
      <c r="E689" s="8"/>
    </row>
    <row r="690" spans="4:5" ht="15.75" customHeight="1">
      <c r="D690" s="15"/>
      <c r="E690" s="8"/>
    </row>
    <row r="691" spans="4:5" ht="15.75" customHeight="1">
      <c r="D691" s="15"/>
      <c r="E691" s="8"/>
    </row>
    <row r="692" spans="4:5" ht="15.75" customHeight="1">
      <c r="D692" s="15"/>
      <c r="E692" s="8"/>
    </row>
    <row r="693" spans="4:5" ht="15.75" customHeight="1">
      <c r="D693" s="15"/>
      <c r="E693" s="8"/>
    </row>
    <row r="694" spans="4:5" ht="15.75" customHeight="1">
      <c r="D694" s="15"/>
      <c r="E694" s="8"/>
    </row>
    <row r="695" spans="4:5" ht="15.75" customHeight="1">
      <c r="D695" s="15"/>
      <c r="E695" s="8"/>
    </row>
    <row r="696" spans="4:5" ht="15.75" customHeight="1">
      <c r="D696" s="15"/>
      <c r="E696" s="8"/>
    </row>
    <row r="697" spans="4:5" ht="15.75" customHeight="1">
      <c r="D697" s="15"/>
      <c r="E697" s="8"/>
    </row>
    <row r="698" spans="4:5" ht="15.75" customHeight="1">
      <c r="D698" s="15"/>
      <c r="E698" s="8"/>
    </row>
    <row r="699" spans="4:5" ht="15.75" customHeight="1">
      <c r="D699" s="15"/>
      <c r="E699" s="8"/>
    </row>
    <row r="700" spans="4:5" ht="15.75" customHeight="1">
      <c r="D700" s="15"/>
      <c r="E700" s="8"/>
    </row>
    <row r="701" spans="4:5" ht="15.75" customHeight="1">
      <c r="D701" s="15"/>
      <c r="E701" s="8"/>
    </row>
    <row r="702" spans="4:5" ht="15.75" customHeight="1">
      <c r="D702" s="15"/>
      <c r="E702" s="8"/>
    </row>
    <row r="703" spans="4:5" ht="15.75" customHeight="1">
      <c r="D703" s="15"/>
      <c r="E703" s="8"/>
    </row>
    <row r="704" spans="4:5" ht="15.75" customHeight="1">
      <c r="D704" s="15"/>
      <c r="E704" s="8"/>
    </row>
    <row r="705" spans="4:5" ht="15.75" customHeight="1">
      <c r="D705" s="15"/>
      <c r="E705" s="8"/>
    </row>
    <row r="706" spans="4:5" ht="15.75" customHeight="1">
      <c r="D706" s="15"/>
      <c r="E706" s="8"/>
    </row>
    <row r="707" spans="4:5" ht="15.75" customHeight="1">
      <c r="D707" s="15"/>
      <c r="E707" s="8"/>
    </row>
    <row r="708" spans="4:5" ht="15.75" customHeight="1">
      <c r="D708" s="15"/>
      <c r="E708" s="8"/>
    </row>
    <row r="709" spans="4:5" ht="15.75" customHeight="1">
      <c r="D709" s="15"/>
      <c r="E709" s="8"/>
    </row>
    <row r="710" spans="4:5" ht="15.75" customHeight="1">
      <c r="D710" s="15"/>
      <c r="E710" s="8"/>
    </row>
    <row r="711" spans="4:5" ht="15.75" customHeight="1">
      <c r="D711" s="15"/>
      <c r="E711" s="8"/>
    </row>
    <row r="712" spans="4:5" ht="15.75" customHeight="1">
      <c r="D712" s="15"/>
      <c r="E712" s="8"/>
    </row>
    <row r="713" spans="4:5" ht="15.75" customHeight="1">
      <c r="D713" s="15"/>
      <c r="E713" s="8"/>
    </row>
    <row r="714" spans="4:5" ht="15.75" customHeight="1">
      <c r="D714" s="15"/>
      <c r="E714" s="8"/>
    </row>
    <row r="715" spans="4:5" ht="15.75" customHeight="1">
      <c r="D715" s="15"/>
      <c r="E715" s="8"/>
    </row>
    <row r="716" spans="4:5" ht="15.75" customHeight="1">
      <c r="D716" s="15"/>
      <c r="E716" s="8"/>
    </row>
    <row r="717" spans="4:5" ht="15.75" customHeight="1">
      <c r="D717" s="15"/>
      <c r="E717" s="8"/>
    </row>
    <row r="718" spans="4:5" ht="15.75" customHeight="1">
      <c r="D718" s="15"/>
      <c r="E718" s="8"/>
    </row>
    <row r="719" spans="4:5" ht="15.75" customHeight="1">
      <c r="D719" s="15"/>
      <c r="E719" s="8"/>
    </row>
    <row r="720" spans="4:5" ht="15.75" customHeight="1">
      <c r="D720" s="15"/>
      <c r="E720" s="8"/>
    </row>
    <row r="721" spans="4:5" ht="15.75" customHeight="1">
      <c r="D721" s="15"/>
      <c r="E721" s="8"/>
    </row>
    <row r="722" spans="4:5" ht="15.75" customHeight="1">
      <c r="D722" s="15"/>
      <c r="E722" s="8"/>
    </row>
    <row r="723" spans="4:5" ht="15.75" customHeight="1">
      <c r="D723" s="15"/>
      <c r="E723" s="8"/>
    </row>
    <row r="724" spans="4:5" ht="15.75" customHeight="1">
      <c r="D724" s="15"/>
      <c r="E724" s="8"/>
    </row>
    <row r="725" spans="4:5" ht="15.75" customHeight="1">
      <c r="D725" s="15"/>
      <c r="E725" s="8"/>
    </row>
    <row r="726" spans="4:5" ht="15.75" customHeight="1">
      <c r="D726" s="15"/>
      <c r="E726" s="8"/>
    </row>
    <row r="727" spans="4:5" ht="15.75" customHeight="1">
      <c r="D727" s="15"/>
      <c r="E727" s="8"/>
    </row>
    <row r="728" spans="4:5" ht="15.75" customHeight="1">
      <c r="D728" s="15"/>
      <c r="E728" s="8"/>
    </row>
    <row r="729" spans="4:5" ht="15.75" customHeight="1">
      <c r="D729" s="15"/>
      <c r="E729" s="8"/>
    </row>
    <row r="730" spans="4:5" ht="15.75" customHeight="1">
      <c r="D730" s="15"/>
      <c r="E730" s="8"/>
    </row>
    <row r="731" spans="4:5" ht="15.75" customHeight="1">
      <c r="D731" s="15"/>
      <c r="E731" s="8"/>
    </row>
    <row r="732" spans="4:5" ht="15.75" customHeight="1">
      <c r="D732" s="15"/>
      <c r="E732" s="8"/>
    </row>
    <row r="733" spans="4:5" ht="15.75" customHeight="1">
      <c r="D733" s="15"/>
      <c r="E733" s="8"/>
    </row>
    <row r="734" spans="4:5" ht="15.75" customHeight="1">
      <c r="D734" s="15"/>
      <c r="E734" s="8"/>
    </row>
    <row r="735" spans="4:5" ht="15.75" customHeight="1">
      <c r="D735" s="15"/>
      <c r="E735" s="8"/>
    </row>
    <row r="736" spans="4:5" ht="15.75" customHeight="1">
      <c r="D736" s="15"/>
      <c r="E736" s="8"/>
    </row>
    <row r="737" spans="4:5" ht="15.75" customHeight="1">
      <c r="D737" s="15"/>
      <c r="E737" s="8"/>
    </row>
    <row r="738" spans="4:5" ht="15.75" customHeight="1">
      <c r="D738" s="15"/>
      <c r="E738" s="8"/>
    </row>
    <row r="739" spans="4:5" ht="15.75" customHeight="1">
      <c r="D739" s="15"/>
      <c r="E739" s="8"/>
    </row>
    <row r="740" spans="4:5" ht="15.75" customHeight="1">
      <c r="D740" s="15"/>
      <c r="E740" s="8"/>
    </row>
    <row r="741" spans="4:5" ht="15.75" customHeight="1">
      <c r="D741" s="15"/>
      <c r="E741" s="8"/>
    </row>
    <row r="742" spans="4:5" ht="15.75" customHeight="1">
      <c r="D742" s="15"/>
      <c r="E742" s="8"/>
    </row>
    <row r="743" spans="4:5" ht="15.75" customHeight="1">
      <c r="D743" s="15"/>
      <c r="E743" s="8"/>
    </row>
    <row r="744" spans="4:5" ht="15.75" customHeight="1">
      <c r="D744" s="15"/>
      <c r="E744" s="8"/>
    </row>
    <row r="745" spans="4:5" ht="15.75" customHeight="1">
      <c r="D745" s="15"/>
      <c r="E745" s="8"/>
    </row>
    <row r="746" spans="4:5" ht="15.75" customHeight="1">
      <c r="D746" s="15"/>
      <c r="E746" s="8"/>
    </row>
    <row r="747" spans="4:5" ht="15.75" customHeight="1">
      <c r="D747" s="15"/>
      <c r="E747" s="8"/>
    </row>
    <row r="748" spans="4:5" ht="15.75" customHeight="1">
      <c r="D748" s="15"/>
      <c r="E748" s="8"/>
    </row>
    <row r="749" spans="4:5" ht="15.75" customHeight="1">
      <c r="D749" s="15"/>
      <c r="E749" s="8"/>
    </row>
    <row r="750" spans="4:5" ht="15.75" customHeight="1">
      <c r="D750" s="15"/>
      <c r="E750" s="8"/>
    </row>
    <row r="751" spans="4:5" ht="15.75" customHeight="1">
      <c r="D751" s="15"/>
      <c r="E751" s="8"/>
    </row>
    <row r="752" spans="4:5" ht="15.75" customHeight="1">
      <c r="D752" s="15"/>
      <c r="E752" s="8"/>
    </row>
    <row r="753" spans="4:5" ht="15.75" customHeight="1">
      <c r="D753" s="15"/>
      <c r="E753" s="8"/>
    </row>
    <row r="754" spans="4:5" ht="15.75" customHeight="1">
      <c r="D754" s="15"/>
      <c r="E754" s="8"/>
    </row>
    <row r="755" spans="4:5" ht="15.75" customHeight="1">
      <c r="D755" s="15"/>
      <c r="E755" s="8"/>
    </row>
    <row r="756" spans="4:5" ht="15.75" customHeight="1">
      <c r="D756" s="15"/>
      <c r="E756" s="8"/>
    </row>
    <row r="757" spans="4:5" ht="15.75" customHeight="1">
      <c r="D757" s="15"/>
      <c r="E757" s="8"/>
    </row>
    <row r="758" spans="4:5" ht="15.75" customHeight="1">
      <c r="D758" s="15"/>
      <c r="E758" s="8"/>
    </row>
    <row r="759" spans="4:5" ht="15.75" customHeight="1">
      <c r="D759" s="15"/>
      <c r="E759" s="8"/>
    </row>
    <row r="760" spans="4:5" ht="15.75" customHeight="1">
      <c r="D760" s="15"/>
      <c r="E760" s="8"/>
    </row>
    <row r="761" spans="4:5" ht="15.75" customHeight="1">
      <c r="D761" s="15"/>
      <c r="E761" s="8"/>
    </row>
    <row r="762" spans="4:5" ht="15.75" customHeight="1">
      <c r="D762" s="15"/>
      <c r="E762" s="8"/>
    </row>
    <row r="763" spans="4:5" ht="15.75" customHeight="1">
      <c r="D763" s="15"/>
      <c r="E763" s="8"/>
    </row>
    <row r="764" spans="4:5" ht="15.75" customHeight="1">
      <c r="D764" s="15"/>
      <c r="E764" s="8"/>
    </row>
    <row r="765" spans="4:5" ht="15.75" customHeight="1">
      <c r="D765" s="15"/>
      <c r="E765" s="8"/>
    </row>
    <row r="766" spans="4:5" ht="15.75" customHeight="1">
      <c r="D766" s="15"/>
      <c r="E766" s="8"/>
    </row>
    <row r="767" spans="4:5" ht="15.75" customHeight="1">
      <c r="D767" s="15"/>
      <c r="E767" s="8"/>
    </row>
    <row r="768" spans="4:5" ht="15.75" customHeight="1">
      <c r="D768" s="15"/>
      <c r="E768" s="8"/>
    </row>
    <row r="769" spans="4:5" ht="15.75" customHeight="1">
      <c r="D769" s="15"/>
      <c r="E769" s="8"/>
    </row>
    <row r="770" spans="4:5" ht="15.75" customHeight="1">
      <c r="D770" s="15"/>
      <c r="E770" s="8"/>
    </row>
    <row r="771" spans="4:5" ht="15.75" customHeight="1">
      <c r="D771" s="15"/>
      <c r="E771" s="8"/>
    </row>
    <row r="772" spans="4:5" ht="15.75" customHeight="1">
      <c r="D772" s="15"/>
      <c r="E772" s="8"/>
    </row>
    <row r="773" spans="4:5" ht="15.75" customHeight="1">
      <c r="D773" s="15"/>
      <c r="E773" s="8"/>
    </row>
    <row r="774" spans="4:5" ht="15.75" customHeight="1">
      <c r="D774" s="15"/>
      <c r="E774" s="8"/>
    </row>
    <row r="775" spans="4:5" ht="15.75" customHeight="1">
      <c r="D775" s="15"/>
      <c r="E775" s="8"/>
    </row>
    <row r="776" spans="4:5" ht="15.75" customHeight="1">
      <c r="D776" s="15"/>
      <c r="E776" s="8"/>
    </row>
    <row r="777" spans="4:5" ht="15.75" customHeight="1">
      <c r="D777" s="15"/>
      <c r="E777" s="8"/>
    </row>
    <row r="778" spans="4:5" ht="15.75" customHeight="1">
      <c r="D778" s="15"/>
      <c r="E778" s="8"/>
    </row>
    <row r="779" spans="4:5" ht="15.75" customHeight="1">
      <c r="D779" s="15"/>
      <c r="E779" s="8"/>
    </row>
    <row r="780" spans="4:5" ht="15.75" customHeight="1">
      <c r="D780" s="15"/>
      <c r="E780" s="8"/>
    </row>
    <row r="781" spans="4:5" ht="15.75" customHeight="1">
      <c r="D781" s="15"/>
      <c r="E781" s="8"/>
    </row>
    <row r="782" spans="4:5" ht="15.75" customHeight="1">
      <c r="D782" s="15"/>
      <c r="E782" s="8"/>
    </row>
    <row r="783" spans="4:5" ht="15.75" customHeight="1">
      <c r="D783" s="15"/>
      <c r="E783" s="8"/>
    </row>
    <row r="784" spans="4:5" ht="15.75" customHeight="1">
      <c r="D784" s="15"/>
      <c r="E784" s="8"/>
    </row>
    <row r="785" spans="4:5" ht="15.75" customHeight="1">
      <c r="D785" s="15"/>
      <c r="E785" s="8"/>
    </row>
    <row r="786" spans="4:5" ht="15.75" customHeight="1">
      <c r="D786" s="15"/>
      <c r="E786" s="8"/>
    </row>
    <row r="787" spans="4:5" ht="15.75" customHeight="1">
      <c r="D787" s="15"/>
      <c r="E787" s="8"/>
    </row>
    <row r="788" spans="4:5" ht="15.75" customHeight="1">
      <c r="D788" s="15"/>
      <c r="E788" s="8"/>
    </row>
    <row r="789" spans="4:5" ht="15.75" customHeight="1">
      <c r="D789" s="15"/>
      <c r="E789" s="8"/>
    </row>
    <row r="790" spans="4:5" ht="15.75" customHeight="1">
      <c r="D790" s="15"/>
      <c r="E790" s="8"/>
    </row>
    <row r="791" spans="4:5" ht="15.75" customHeight="1">
      <c r="D791" s="15"/>
      <c r="E791" s="8"/>
    </row>
    <row r="792" spans="4:5" ht="15.75" customHeight="1">
      <c r="D792" s="15"/>
      <c r="E792" s="8"/>
    </row>
    <row r="793" spans="4:5" ht="15.75" customHeight="1">
      <c r="D793" s="15"/>
      <c r="E793" s="8"/>
    </row>
    <row r="794" spans="4:5" ht="15.75" customHeight="1">
      <c r="D794" s="15"/>
      <c r="E794" s="8"/>
    </row>
    <row r="795" spans="4:5" ht="15.75" customHeight="1">
      <c r="D795" s="15"/>
      <c r="E795" s="8"/>
    </row>
    <row r="796" spans="4:5" ht="15.75" customHeight="1">
      <c r="D796" s="15"/>
      <c r="E796" s="8"/>
    </row>
    <row r="797" spans="4:5" ht="15.75" customHeight="1">
      <c r="D797" s="15"/>
      <c r="E797" s="8"/>
    </row>
    <row r="798" spans="4:5" ht="15.75" customHeight="1">
      <c r="D798" s="15"/>
      <c r="E798" s="8"/>
    </row>
    <row r="799" spans="4:5" ht="15.75" customHeight="1">
      <c r="D799" s="15"/>
      <c r="E799" s="8"/>
    </row>
    <row r="800" spans="4:5" ht="15.75" customHeight="1">
      <c r="D800" s="15"/>
      <c r="E800" s="8"/>
    </row>
    <row r="801" spans="4:5" ht="15.75" customHeight="1">
      <c r="D801" s="15"/>
      <c r="E801" s="8"/>
    </row>
    <row r="802" spans="4:5" ht="15.75" customHeight="1">
      <c r="D802" s="15"/>
      <c r="E802" s="8"/>
    </row>
    <row r="803" spans="4:5" ht="15.75" customHeight="1">
      <c r="D803" s="15"/>
      <c r="E803" s="8"/>
    </row>
    <row r="804" spans="4:5" ht="15.75" customHeight="1">
      <c r="D804" s="15"/>
      <c r="E804" s="8"/>
    </row>
    <row r="805" spans="4:5" ht="15.75" customHeight="1">
      <c r="D805" s="15"/>
      <c r="E805" s="8"/>
    </row>
    <row r="806" spans="4:5" ht="15.75" customHeight="1">
      <c r="D806" s="15"/>
      <c r="E806" s="8"/>
    </row>
    <row r="807" spans="4:5" ht="15.75" customHeight="1">
      <c r="D807" s="15"/>
      <c r="E807" s="8"/>
    </row>
    <row r="808" spans="4:5" ht="15.75" customHeight="1">
      <c r="D808" s="15"/>
      <c r="E808" s="8"/>
    </row>
    <row r="809" spans="4:5" ht="15.75" customHeight="1">
      <c r="D809" s="15"/>
      <c r="E809" s="8"/>
    </row>
    <row r="810" spans="4:5" ht="15.75" customHeight="1">
      <c r="D810" s="15"/>
      <c r="E810" s="8"/>
    </row>
    <row r="811" spans="4:5" ht="15.75" customHeight="1">
      <c r="D811" s="15"/>
      <c r="E811" s="8"/>
    </row>
    <row r="812" spans="4:5" ht="15.75" customHeight="1">
      <c r="D812" s="15"/>
      <c r="E812" s="8"/>
    </row>
    <row r="813" spans="4:5" ht="15.75" customHeight="1">
      <c r="D813" s="15"/>
      <c r="E813" s="8"/>
    </row>
    <row r="814" spans="4:5" ht="15.75" customHeight="1">
      <c r="D814" s="15"/>
      <c r="E814" s="8"/>
    </row>
    <row r="815" spans="4:5" ht="15.75" customHeight="1">
      <c r="D815" s="15"/>
      <c r="E815" s="8"/>
    </row>
    <row r="816" spans="4:5" ht="15.75" customHeight="1">
      <c r="D816" s="15"/>
      <c r="E816" s="8"/>
    </row>
    <row r="817" spans="4:5" ht="15.75" customHeight="1">
      <c r="D817" s="15"/>
      <c r="E817" s="8"/>
    </row>
    <row r="818" spans="4:5" ht="15.75" customHeight="1">
      <c r="D818" s="15"/>
      <c r="E818" s="8"/>
    </row>
    <row r="819" spans="4:5" ht="15.75" customHeight="1">
      <c r="D819" s="15"/>
      <c r="E819" s="8"/>
    </row>
    <row r="820" spans="4:5" ht="15.75" customHeight="1">
      <c r="D820" s="15"/>
      <c r="E820" s="8"/>
    </row>
    <row r="821" spans="4:5" ht="15.75" customHeight="1">
      <c r="D821" s="15"/>
      <c r="E821" s="8"/>
    </row>
    <row r="822" spans="4:5" ht="15.75" customHeight="1">
      <c r="D822" s="15"/>
      <c r="E822" s="8"/>
    </row>
    <row r="823" spans="4:5" ht="15.75" customHeight="1">
      <c r="D823" s="15"/>
      <c r="E823" s="8"/>
    </row>
    <row r="824" spans="4:5" ht="15.75" customHeight="1">
      <c r="D824" s="15"/>
      <c r="E824" s="8"/>
    </row>
    <row r="825" spans="4:5" ht="15.75" customHeight="1">
      <c r="D825" s="15"/>
      <c r="E825" s="8"/>
    </row>
    <row r="826" spans="4:5" ht="15.75" customHeight="1">
      <c r="D826" s="15"/>
      <c r="E826" s="8"/>
    </row>
    <row r="827" spans="4:5" ht="15.75" customHeight="1">
      <c r="D827" s="15"/>
      <c r="E827" s="8"/>
    </row>
    <row r="828" spans="4:5" ht="15.75" customHeight="1">
      <c r="D828" s="15"/>
      <c r="E828" s="8"/>
    </row>
    <row r="829" spans="4:5" ht="15.75" customHeight="1">
      <c r="D829" s="15"/>
      <c r="E829" s="8"/>
    </row>
    <row r="830" spans="4:5" ht="15.75" customHeight="1">
      <c r="D830" s="15"/>
      <c r="E830" s="8"/>
    </row>
    <row r="831" spans="4:5" ht="15.75" customHeight="1">
      <c r="D831" s="15"/>
      <c r="E831" s="8"/>
    </row>
    <row r="832" spans="4:5" ht="15.75" customHeight="1">
      <c r="D832" s="15"/>
      <c r="E832" s="8"/>
    </row>
    <row r="833" spans="4:5" ht="15.75" customHeight="1">
      <c r="D833" s="15"/>
      <c r="E833" s="8"/>
    </row>
    <row r="834" spans="4:5" ht="15.75" customHeight="1">
      <c r="D834" s="15"/>
      <c r="E834" s="8"/>
    </row>
    <row r="835" spans="4:5" ht="15.75" customHeight="1">
      <c r="D835" s="15"/>
      <c r="E835" s="8"/>
    </row>
    <row r="836" spans="4:5" ht="15.75" customHeight="1">
      <c r="D836" s="15"/>
      <c r="E836" s="8"/>
    </row>
    <row r="837" spans="4:5" ht="15.75" customHeight="1">
      <c r="D837" s="15"/>
      <c r="E837" s="8"/>
    </row>
    <row r="838" spans="4:5" ht="15.75" customHeight="1">
      <c r="D838" s="15"/>
      <c r="E838" s="8"/>
    </row>
    <row r="839" spans="4:5" ht="15.75" customHeight="1">
      <c r="D839" s="15"/>
      <c r="E839" s="8"/>
    </row>
    <row r="840" spans="4:5" ht="15.75" customHeight="1">
      <c r="D840" s="15"/>
      <c r="E840" s="8"/>
    </row>
    <row r="841" spans="4:5" ht="15.75" customHeight="1">
      <c r="D841" s="15"/>
      <c r="E841" s="8"/>
    </row>
    <row r="842" spans="4:5" ht="15.75" customHeight="1">
      <c r="D842" s="15"/>
      <c r="E842" s="8"/>
    </row>
    <row r="843" spans="4:5" ht="15.75" customHeight="1">
      <c r="D843" s="15"/>
      <c r="E843" s="8"/>
    </row>
    <row r="844" spans="4:5" ht="15.75" customHeight="1">
      <c r="D844" s="15"/>
      <c r="E844" s="8"/>
    </row>
    <row r="845" spans="4:5" ht="15.75" customHeight="1">
      <c r="D845" s="15"/>
      <c r="E845" s="8"/>
    </row>
    <row r="846" spans="4:5" ht="15.75" customHeight="1">
      <c r="D846" s="15"/>
      <c r="E846" s="8"/>
    </row>
    <row r="847" spans="4:5" ht="15.75" customHeight="1">
      <c r="D847" s="15"/>
      <c r="E847" s="8"/>
    </row>
    <row r="848" spans="4:5" ht="15.75" customHeight="1">
      <c r="D848" s="15"/>
      <c r="E848" s="8"/>
    </row>
    <row r="849" spans="4:5" ht="15.75" customHeight="1">
      <c r="D849" s="15"/>
      <c r="E849" s="8"/>
    </row>
    <row r="850" spans="4:5" ht="15.75" customHeight="1">
      <c r="D850" s="15"/>
      <c r="E850" s="8"/>
    </row>
    <row r="851" spans="4:5" ht="15.75" customHeight="1">
      <c r="D851" s="15"/>
      <c r="E851" s="8"/>
    </row>
    <row r="852" spans="4:5" ht="15.75" customHeight="1">
      <c r="D852" s="15"/>
      <c r="E852" s="8"/>
    </row>
    <row r="853" spans="4:5" ht="15.75" customHeight="1">
      <c r="D853" s="15"/>
      <c r="E853" s="8"/>
    </row>
    <row r="854" spans="4:5" ht="15.75" customHeight="1">
      <c r="D854" s="15"/>
      <c r="E854" s="8"/>
    </row>
    <row r="855" spans="4:5" ht="15.75" customHeight="1">
      <c r="D855" s="15"/>
      <c r="E855" s="8"/>
    </row>
    <row r="856" spans="4:5" ht="15.75" customHeight="1">
      <c r="D856" s="15"/>
      <c r="E856" s="8"/>
    </row>
    <row r="857" spans="4:5" ht="15.75" customHeight="1">
      <c r="D857" s="15"/>
      <c r="E857" s="8"/>
    </row>
    <row r="858" spans="4:5" ht="15.75" customHeight="1">
      <c r="D858" s="15"/>
      <c r="E858" s="8"/>
    </row>
    <row r="859" spans="4:5" ht="15.75" customHeight="1">
      <c r="D859" s="15"/>
      <c r="E859" s="8"/>
    </row>
    <row r="860" spans="4:5" ht="15.75" customHeight="1">
      <c r="D860" s="15"/>
      <c r="E860" s="8"/>
    </row>
    <row r="861" spans="4:5" ht="15.75" customHeight="1">
      <c r="D861" s="15"/>
      <c r="E861" s="8"/>
    </row>
    <row r="862" spans="4:5" ht="15.75" customHeight="1">
      <c r="D862" s="15"/>
      <c r="E862" s="8"/>
    </row>
    <row r="863" spans="4:5" ht="15.75" customHeight="1">
      <c r="D863" s="15"/>
      <c r="E863" s="8"/>
    </row>
    <row r="864" spans="4:5" ht="15.75" customHeight="1">
      <c r="D864" s="15"/>
      <c r="E864" s="8"/>
    </row>
    <row r="865" spans="4:5" ht="15.75" customHeight="1">
      <c r="D865" s="15"/>
      <c r="E865" s="8"/>
    </row>
    <row r="866" spans="4:5" ht="15.75" customHeight="1">
      <c r="D866" s="15"/>
      <c r="E866" s="8"/>
    </row>
    <row r="867" spans="4:5" ht="15.75" customHeight="1">
      <c r="D867" s="15"/>
      <c r="E867" s="8"/>
    </row>
    <row r="868" spans="4:5" ht="15.75" customHeight="1">
      <c r="D868" s="15"/>
      <c r="E868" s="8"/>
    </row>
    <row r="869" spans="4:5" ht="15.75" customHeight="1">
      <c r="D869" s="15"/>
      <c r="E869" s="8"/>
    </row>
    <row r="870" spans="4:5" ht="15.75" customHeight="1">
      <c r="D870" s="15"/>
      <c r="E870" s="8"/>
    </row>
    <row r="871" spans="4:5" ht="15.75" customHeight="1">
      <c r="D871" s="15"/>
      <c r="E871" s="8"/>
    </row>
    <row r="872" spans="4:5" ht="15.75" customHeight="1">
      <c r="D872" s="15"/>
      <c r="E872" s="8"/>
    </row>
    <row r="873" spans="4:5" ht="15.75" customHeight="1">
      <c r="D873" s="15"/>
      <c r="E873" s="8"/>
    </row>
    <row r="874" spans="4:5" ht="15.75" customHeight="1">
      <c r="D874" s="15"/>
      <c r="E874" s="8"/>
    </row>
    <row r="875" spans="4:5" ht="15.75" customHeight="1">
      <c r="D875" s="15"/>
      <c r="E875" s="8"/>
    </row>
    <row r="876" spans="4:5" ht="15.75" customHeight="1">
      <c r="D876" s="15"/>
      <c r="E876" s="8"/>
    </row>
    <row r="877" spans="4:5" ht="15.75" customHeight="1">
      <c r="D877" s="15"/>
      <c r="E877" s="8"/>
    </row>
    <row r="878" spans="4:5" ht="15.75" customHeight="1">
      <c r="D878" s="15"/>
      <c r="E878" s="8"/>
    </row>
    <row r="879" spans="4:5" ht="15.75" customHeight="1">
      <c r="D879" s="15"/>
      <c r="E879" s="8"/>
    </row>
    <row r="880" spans="4:5" ht="15.75" customHeight="1">
      <c r="D880" s="15"/>
      <c r="E880" s="8"/>
    </row>
    <row r="881" spans="4:5" ht="15.75" customHeight="1">
      <c r="D881" s="15"/>
      <c r="E881" s="8"/>
    </row>
    <row r="882" spans="4:5" ht="15.75" customHeight="1">
      <c r="D882" s="15"/>
      <c r="E882" s="8"/>
    </row>
    <row r="883" spans="4:5" ht="15.75" customHeight="1">
      <c r="D883" s="15"/>
      <c r="E883" s="8"/>
    </row>
    <row r="884" spans="4:5" ht="15.75" customHeight="1">
      <c r="D884" s="15"/>
      <c r="E884" s="8"/>
    </row>
    <row r="885" spans="4:5" ht="15.75" customHeight="1">
      <c r="D885" s="15"/>
      <c r="E885" s="8"/>
    </row>
    <row r="886" spans="4:5" ht="15.75" customHeight="1">
      <c r="D886" s="15"/>
      <c r="E886" s="8"/>
    </row>
    <row r="887" spans="4:5" ht="15.75" customHeight="1">
      <c r="D887" s="15"/>
      <c r="E887" s="8"/>
    </row>
    <row r="888" spans="4:5" ht="15.75" customHeight="1">
      <c r="D888" s="15"/>
      <c r="E888" s="8"/>
    </row>
    <row r="889" spans="4:5" ht="15.75" customHeight="1">
      <c r="D889" s="15"/>
      <c r="E889" s="8"/>
    </row>
    <row r="890" spans="4:5" ht="15.75" customHeight="1">
      <c r="D890" s="15"/>
      <c r="E890" s="8"/>
    </row>
    <row r="891" spans="4:5" ht="15.75" customHeight="1">
      <c r="D891" s="15"/>
      <c r="E891" s="8"/>
    </row>
    <row r="892" spans="4:5" ht="15.75" customHeight="1">
      <c r="D892" s="15"/>
      <c r="E892" s="8"/>
    </row>
    <row r="893" spans="4:5" ht="15.75" customHeight="1">
      <c r="D893" s="15"/>
      <c r="E893" s="8"/>
    </row>
    <row r="894" spans="4:5" ht="15.75" customHeight="1">
      <c r="D894" s="15"/>
      <c r="E894" s="8"/>
    </row>
    <row r="895" spans="4:5" ht="15.75" customHeight="1">
      <c r="D895" s="15"/>
      <c r="E895" s="8"/>
    </row>
    <row r="896" spans="4:5" ht="15.75" customHeight="1">
      <c r="D896" s="15"/>
      <c r="E896" s="8"/>
    </row>
    <row r="897" spans="4:5" ht="15.75" customHeight="1">
      <c r="D897" s="15"/>
      <c r="E897" s="8"/>
    </row>
    <row r="898" spans="4:5" ht="15.75" customHeight="1">
      <c r="D898" s="15"/>
      <c r="E898" s="8"/>
    </row>
    <row r="899" spans="4:5" ht="15.75" customHeight="1">
      <c r="D899" s="15"/>
      <c r="E899" s="8"/>
    </row>
    <row r="900" spans="4:5" ht="15.75" customHeight="1">
      <c r="D900" s="15"/>
      <c r="E900" s="8"/>
    </row>
    <row r="901" spans="4:5" ht="15.75" customHeight="1">
      <c r="D901" s="15"/>
      <c r="E901" s="8"/>
    </row>
    <row r="902" spans="4:5" ht="15.75" customHeight="1">
      <c r="D902" s="15"/>
      <c r="E902" s="8"/>
    </row>
    <row r="903" spans="4:5" ht="15.75" customHeight="1">
      <c r="D903" s="15"/>
      <c r="E903" s="8"/>
    </row>
    <row r="904" spans="4:5" ht="15.75" customHeight="1">
      <c r="D904" s="15"/>
      <c r="E904" s="8"/>
    </row>
    <row r="905" spans="4:5" ht="15.75" customHeight="1">
      <c r="D905" s="15"/>
      <c r="E905" s="8"/>
    </row>
    <row r="906" spans="4:5" ht="15.75" customHeight="1">
      <c r="D906" s="15"/>
      <c r="E906" s="8"/>
    </row>
    <row r="907" spans="4:5" ht="15.75" customHeight="1">
      <c r="D907" s="15"/>
      <c r="E907" s="8"/>
    </row>
    <row r="908" spans="4:5" ht="15.75" customHeight="1">
      <c r="D908" s="15"/>
      <c r="E908" s="8"/>
    </row>
    <row r="909" spans="4:5" ht="15.75" customHeight="1">
      <c r="D909" s="15"/>
      <c r="E909" s="8"/>
    </row>
    <row r="910" spans="4:5" ht="15.75" customHeight="1">
      <c r="D910" s="15"/>
      <c r="E910" s="8"/>
    </row>
    <row r="911" spans="4:5" ht="15.75" customHeight="1">
      <c r="D911" s="15"/>
      <c r="E911" s="8"/>
    </row>
    <row r="912" spans="4:5" ht="15.75" customHeight="1">
      <c r="D912" s="15"/>
      <c r="E912" s="8"/>
    </row>
    <row r="913" spans="4:5" ht="15.75" customHeight="1">
      <c r="D913" s="15"/>
      <c r="E913" s="8"/>
    </row>
    <row r="914" spans="4:5" ht="15.75" customHeight="1">
      <c r="D914" s="15"/>
      <c r="E914" s="8"/>
    </row>
    <row r="915" spans="4:5" ht="15.75" customHeight="1">
      <c r="D915" s="15"/>
      <c r="E915" s="8"/>
    </row>
    <row r="916" spans="4:5" ht="15.75" customHeight="1">
      <c r="D916" s="15"/>
      <c r="E916" s="8"/>
    </row>
    <row r="917" spans="4:5" ht="15.75" customHeight="1">
      <c r="D917" s="15"/>
      <c r="E917" s="8"/>
    </row>
    <row r="918" spans="4:5" ht="15.75" customHeight="1">
      <c r="D918" s="15"/>
      <c r="E918" s="8"/>
    </row>
    <row r="919" spans="4:5" ht="15.75" customHeight="1">
      <c r="D919" s="15"/>
      <c r="E919" s="8"/>
    </row>
    <row r="920" spans="4:5" ht="15.75" customHeight="1">
      <c r="D920" s="15"/>
      <c r="E920" s="8"/>
    </row>
    <row r="921" spans="4:5" ht="15.75" customHeight="1">
      <c r="D921" s="15"/>
      <c r="E921" s="8"/>
    </row>
    <row r="922" spans="4:5" ht="15.75" customHeight="1">
      <c r="D922" s="15"/>
      <c r="E922" s="8"/>
    </row>
    <row r="923" spans="4:5" ht="15.75" customHeight="1">
      <c r="D923" s="15"/>
      <c r="E923" s="8"/>
    </row>
    <row r="924" spans="4:5" ht="15.75" customHeight="1">
      <c r="D924" s="15"/>
      <c r="E924" s="8"/>
    </row>
    <row r="925" spans="4:5" ht="15.75" customHeight="1">
      <c r="D925" s="15"/>
      <c r="E925" s="8"/>
    </row>
    <row r="926" spans="4:5" ht="15.75" customHeight="1">
      <c r="D926" s="15"/>
      <c r="E926" s="8"/>
    </row>
    <row r="927" spans="4:5" ht="15.75" customHeight="1">
      <c r="D927" s="15"/>
      <c r="E927" s="8"/>
    </row>
    <row r="928" spans="4:5" ht="15.75" customHeight="1">
      <c r="D928" s="15"/>
      <c r="E928" s="8"/>
    </row>
    <row r="929" spans="4:5" ht="15.75" customHeight="1">
      <c r="D929" s="15"/>
      <c r="E929" s="8"/>
    </row>
    <row r="930" spans="4:5" ht="15.75" customHeight="1">
      <c r="D930" s="15"/>
      <c r="E930" s="8"/>
    </row>
    <row r="931" spans="4:5" ht="15.75" customHeight="1">
      <c r="D931" s="15"/>
      <c r="E931" s="8"/>
    </row>
    <row r="932" spans="4:5" ht="15.75" customHeight="1">
      <c r="D932" s="15"/>
      <c r="E932" s="8"/>
    </row>
    <row r="933" spans="4:5" ht="15.75" customHeight="1">
      <c r="D933" s="15"/>
      <c r="E933" s="8"/>
    </row>
    <row r="934" spans="4:5" ht="15.75" customHeight="1">
      <c r="D934" s="15"/>
      <c r="E934" s="8"/>
    </row>
    <row r="935" spans="4:5" ht="15.75" customHeight="1">
      <c r="D935" s="15"/>
      <c r="E935" s="8"/>
    </row>
    <row r="936" spans="4:5" ht="15.75" customHeight="1">
      <c r="D936" s="15"/>
      <c r="E936" s="8"/>
    </row>
    <row r="937" spans="4:5" ht="15.75" customHeight="1">
      <c r="D937" s="15"/>
      <c r="E937" s="8"/>
    </row>
    <row r="938" spans="4:5" ht="15.75" customHeight="1">
      <c r="D938" s="15"/>
      <c r="E938" s="8"/>
    </row>
    <row r="939" spans="4:5" ht="15.75" customHeight="1">
      <c r="D939" s="15"/>
      <c r="E939" s="8"/>
    </row>
    <row r="940" spans="4:5" ht="15.75" customHeight="1">
      <c r="D940" s="15"/>
      <c r="E940" s="8"/>
    </row>
    <row r="941" spans="4:5" ht="15.75" customHeight="1">
      <c r="D941" s="15"/>
      <c r="E941" s="8"/>
    </row>
    <row r="942" spans="4:5" ht="15.75" customHeight="1">
      <c r="D942" s="15"/>
      <c r="E942" s="8"/>
    </row>
    <row r="943" spans="4:5" ht="15.75" customHeight="1">
      <c r="D943" s="15"/>
      <c r="E943" s="8"/>
    </row>
    <row r="944" spans="4:5" ht="15.75" customHeight="1">
      <c r="D944" s="15"/>
      <c r="E944" s="8"/>
    </row>
    <row r="945" spans="4:5" ht="15.75" customHeight="1">
      <c r="D945" s="15"/>
      <c r="E945" s="8"/>
    </row>
    <row r="946" spans="4:5" ht="15.75" customHeight="1">
      <c r="D946" s="15"/>
      <c r="E946" s="8"/>
    </row>
    <row r="947" spans="4:5" ht="15.75" customHeight="1">
      <c r="D947" s="15"/>
      <c r="E947" s="8"/>
    </row>
    <row r="948" spans="4:5" ht="15.75" customHeight="1">
      <c r="D948" s="15"/>
      <c r="E948" s="8"/>
    </row>
    <row r="949" spans="4:5" ht="15.75" customHeight="1">
      <c r="D949" s="15"/>
      <c r="E949" s="8"/>
    </row>
    <row r="950" spans="4:5" ht="15.75" customHeight="1">
      <c r="D950" s="15"/>
      <c r="E950" s="8"/>
    </row>
    <row r="951" spans="4:5" ht="15.75" customHeight="1">
      <c r="D951" s="15"/>
      <c r="E951" s="8"/>
    </row>
    <row r="952" spans="4:5" ht="15.75" customHeight="1">
      <c r="D952" s="15"/>
      <c r="E952" s="8"/>
    </row>
    <row r="953" spans="4:5" ht="15.75" customHeight="1">
      <c r="D953" s="15"/>
      <c r="E953" s="8"/>
    </row>
    <row r="954" spans="4:5" ht="15.75" customHeight="1">
      <c r="D954" s="15"/>
      <c r="E954" s="8"/>
    </row>
    <row r="955" spans="4:5" ht="15.75" customHeight="1">
      <c r="D955" s="15"/>
      <c r="E955" s="8"/>
    </row>
    <row r="956" spans="4:5" ht="15.75" customHeight="1">
      <c r="D956" s="15"/>
      <c r="E956" s="8"/>
    </row>
    <row r="957" spans="4:5" ht="15.75" customHeight="1">
      <c r="D957" s="15"/>
      <c r="E957" s="8"/>
    </row>
    <row r="958" spans="4:5" ht="15.75" customHeight="1">
      <c r="D958" s="15"/>
      <c r="E958" s="8"/>
    </row>
    <row r="959" spans="4:5" ht="15.75" customHeight="1">
      <c r="D959" s="15"/>
      <c r="E959" s="8"/>
    </row>
    <row r="960" spans="4:5" ht="15.75" customHeight="1">
      <c r="D960" s="15"/>
      <c r="E960" s="8"/>
    </row>
    <row r="961" spans="4:5" ht="15.75" customHeight="1">
      <c r="D961" s="15"/>
      <c r="E961" s="8"/>
    </row>
    <row r="962" spans="4:5" ht="15.75" customHeight="1">
      <c r="D962" s="15"/>
      <c r="E962" s="8"/>
    </row>
    <row r="963" spans="4:5" ht="15.75" customHeight="1">
      <c r="D963" s="15"/>
      <c r="E963" s="8"/>
    </row>
    <row r="964" spans="4:5" ht="15.75" customHeight="1">
      <c r="D964" s="15"/>
      <c r="E964" s="8"/>
    </row>
    <row r="965" spans="4:5" ht="15.75" customHeight="1">
      <c r="D965" s="15"/>
      <c r="E965" s="8"/>
    </row>
    <row r="966" spans="4:5" ht="15.75" customHeight="1">
      <c r="D966" s="15"/>
      <c r="E966" s="8"/>
    </row>
    <row r="967" spans="4:5" ht="15.75" customHeight="1">
      <c r="D967" s="15"/>
      <c r="E967" s="8"/>
    </row>
    <row r="968" spans="4:5" ht="15.75" customHeight="1">
      <c r="D968" s="15"/>
      <c r="E968" s="8"/>
    </row>
    <row r="969" spans="4:5" ht="15.75" customHeight="1">
      <c r="D969" s="15"/>
      <c r="E969" s="8"/>
    </row>
    <row r="970" spans="4:5" ht="15.75" customHeight="1">
      <c r="D970" s="15"/>
      <c r="E970" s="8"/>
    </row>
    <row r="971" spans="4:5" ht="15.75" customHeight="1">
      <c r="D971" s="15"/>
      <c r="E971" s="8"/>
    </row>
    <row r="972" spans="4:5" ht="15.75" customHeight="1">
      <c r="D972" s="15"/>
      <c r="E972" s="8"/>
    </row>
    <row r="973" spans="4:5" ht="15.75" customHeight="1">
      <c r="D973" s="15"/>
      <c r="E973" s="8"/>
    </row>
    <row r="974" spans="4:5" ht="15.75" customHeight="1">
      <c r="D974" s="15"/>
      <c r="E974" s="8"/>
    </row>
    <row r="975" spans="4:5" ht="15.75" customHeight="1">
      <c r="D975" s="15"/>
      <c r="E975" s="8"/>
    </row>
    <row r="976" spans="4:5" ht="15.75" customHeight="1">
      <c r="D976" s="15"/>
      <c r="E976" s="8"/>
    </row>
    <row r="977" spans="4:5" ht="15.75" customHeight="1">
      <c r="D977" s="15"/>
      <c r="E977" s="8"/>
    </row>
    <row r="978" spans="4:5" ht="15.75" customHeight="1">
      <c r="D978" s="15"/>
      <c r="E978" s="8"/>
    </row>
    <row r="979" spans="4:5" ht="15.75" customHeight="1">
      <c r="D979" s="15"/>
      <c r="E979" s="8"/>
    </row>
    <row r="980" spans="4:5" ht="15.75" customHeight="1">
      <c r="D980" s="15"/>
      <c r="E980" s="8"/>
    </row>
    <row r="981" spans="4:5" ht="15.75" customHeight="1">
      <c r="D981" s="15"/>
      <c r="E981" s="8"/>
    </row>
    <row r="982" spans="4:5" ht="15.75" customHeight="1">
      <c r="D982" s="15"/>
      <c r="E982" s="8"/>
    </row>
    <row r="983" spans="4:5" ht="15.75" customHeight="1">
      <c r="D983" s="15"/>
      <c r="E983" s="8"/>
    </row>
    <row r="984" spans="4:5" ht="15.75" customHeight="1">
      <c r="D984" s="15"/>
      <c r="E984" s="8"/>
    </row>
    <row r="985" spans="4:5" ht="15.75" customHeight="1">
      <c r="D985" s="15"/>
      <c r="E985" s="8"/>
    </row>
    <row r="986" spans="4:5" ht="15.75" customHeight="1">
      <c r="D986" s="15"/>
      <c r="E986" s="8"/>
    </row>
    <row r="987" spans="4:5" ht="15.75" customHeight="1">
      <c r="D987" s="15"/>
      <c r="E987" s="8"/>
    </row>
    <row r="988" spans="4:5" ht="15.75" customHeight="1">
      <c r="D988" s="15"/>
      <c r="E988" s="8"/>
    </row>
    <row r="989" spans="4:5" ht="15.75" customHeight="1">
      <c r="D989" s="15"/>
      <c r="E989" s="8"/>
    </row>
    <row r="990" spans="4:5" ht="15.75" customHeight="1">
      <c r="D990" s="15"/>
      <c r="E990" s="8"/>
    </row>
    <row r="991" spans="4:5" ht="15.75" customHeight="1">
      <c r="D991" s="15"/>
      <c r="E991" s="8"/>
    </row>
    <row r="992" spans="4:5" ht="15.75" customHeight="1">
      <c r="D992" s="15"/>
      <c r="E992" s="8"/>
    </row>
    <row r="993" spans="4:5" ht="15.75" customHeight="1">
      <c r="D993" s="15"/>
      <c r="E993" s="8"/>
    </row>
    <row r="994" spans="4:5" ht="15.75" customHeight="1">
      <c r="D994" s="15"/>
      <c r="E994" s="8"/>
    </row>
    <row r="995" spans="4:5" ht="15.75" customHeight="1">
      <c r="D995" s="15"/>
      <c r="E995" s="8"/>
    </row>
    <row r="996" spans="4:5" ht="15.75" customHeight="1">
      <c r="D996" s="15"/>
      <c r="E996" s="8"/>
    </row>
    <row r="997" spans="4:5" ht="15.75" customHeight="1">
      <c r="D997" s="15"/>
      <c r="E997" s="8"/>
    </row>
    <row r="998" spans="4:5" ht="15.75" customHeight="1">
      <c r="D998" s="15"/>
      <c r="E998" s="8"/>
    </row>
    <row r="999" spans="4:5" ht="15.75" customHeight="1">
      <c r="D999" s="15"/>
      <c r="E999" s="8"/>
    </row>
    <row r="1000" spans="4:5" ht="15.75" customHeight="1">
      <c r="D1000" s="15"/>
      <c r="E1000" s="8"/>
    </row>
  </sheetData>
  <autoFilter ref="A1:H1000" xr:uid="{00000000-0001-0000-0300-000000000000}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zoomScale="55" zoomScaleNormal="55" workbookViewId="0">
      <selection activeCell="C366" sqref="C1:D366"/>
    </sheetView>
  </sheetViews>
  <sheetFormatPr defaultColWidth="11.25" defaultRowHeight="15" customHeight="1"/>
  <cols>
    <col min="1" max="1" width="11.8125" customWidth="1"/>
    <col min="2" max="2" width="9.1875" customWidth="1"/>
    <col min="3" max="3" width="10.8125" customWidth="1"/>
    <col min="4" max="4" width="16.375" customWidth="1"/>
    <col min="5" max="5" width="18.75" customWidth="1"/>
    <col min="6" max="6" width="17.0625" customWidth="1"/>
    <col min="7" max="7" width="20.875" customWidth="1"/>
    <col min="8" max="8" width="26.4375" customWidth="1"/>
    <col min="9" max="9" width="27" customWidth="1"/>
    <col min="10" max="10" width="16.6875" customWidth="1"/>
    <col min="11" max="11" width="27.25" customWidth="1"/>
    <col min="12" max="22" width="11" customWidth="1"/>
    <col min="23" max="23" width="15.3125" customWidth="1"/>
    <col min="24" max="24" width="14" customWidth="1"/>
    <col min="25" max="25" width="14.3125" customWidth="1"/>
    <col min="26" max="26" width="11" customWidth="1"/>
  </cols>
  <sheetData>
    <row r="1" spans="1:17" ht="15.75" customHeight="1">
      <c r="A1" s="2" t="s">
        <v>17</v>
      </c>
      <c r="B1" s="2" t="s">
        <v>15</v>
      </c>
      <c r="C1" s="1" t="s">
        <v>0</v>
      </c>
      <c r="D1" s="2" t="s">
        <v>1</v>
      </c>
      <c r="E1" s="2" t="s">
        <v>18</v>
      </c>
      <c r="F1" s="14" t="s">
        <v>14</v>
      </c>
      <c r="G1" s="2" t="s">
        <v>4</v>
      </c>
      <c r="H1" s="2" t="s">
        <v>5</v>
      </c>
      <c r="I1" s="2" t="s">
        <v>6</v>
      </c>
      <c r="J1" s="2" t="s">
        <v>19</v>
      </c>
      <c r="K1" s="2" t="s">
        <v>20</v>
      </c>
    </row>
    <row r="2" spans="1:17" ht="15.75" customHeight="1">
      <c r="A2" s="4" t="str">
        <f t="shared" ref="A2:A256" si="0">IF(MONTH(C2)=1, "Jan",  IF(MONTH(C2) = 2, "Feb", IF(MONTH(C2) = 3, "Mar", IF(MONTH(C2) = 4, "Apr", IF(MONTH(C2) = 5, "May", IF(MONTH(C2) = 6, "Jun", IF(MONTH(C2) = 7, "Jul", IF(MONTH(C2) = 8, "Aug", IF(MONTH(C2) = 9, "Sep", IF(MONTH(C2) = 10, "Oct", IF(MONTH(C2) = 11, "Nov", "Dec")))))))))))</f>
        <v>Jan</v>
      </c>
      <c r="B2" s="4">
        <v>1</v>
      </c>
      <c r="C2" s="3">
        <v>21551</v>
      </c>
      <c r="D2" s="4">
        <v>35</v>
      </c>
      <c r="E2" s="15"/>
      <c r="F2" s="8"/>
      <c r="G2" s="8"/>
      <c r="H2" s="8"/>
      <c r="I2" s="5"/>
      <c r="J2" s="8"/>
      <c r="K2" s="15"/>
      <c r="N2" s="18" t="s">
        <v>21</v>
      </c>
      <c r="O2" s="18"/>
    </row>
    <row r="3" spans="1:17" ht="15.75" customHeight="1">
      <c r="A3" s="4" t="str">
        <f t="shared" si="0"/>
        <v>Jan</v>
      </c>
      <c r="B3" s="4">
        <v>2</v>
      </c>
      <c r="C3" s="3">
        <v>21552</v>
      </c>
      <c r="D3" s="4">
        <v>32</v>
      </c>
      <c r="E3" s="15"/>
      <c r="F3" s="8"/>
      <c r="G3" s="8"/>
      <c r="H3" s="8"/>
      <c r="I3" s="5"/>
      <c r="J3" s="8"/>
      <c r="K3" s="15"/>
      <c r="N3" s="19" t="s">
        <v>22</v>
      </c>
      <c r="O3" s="19"/>
    </row>
    <row r="4" spans="1:17" ht="15.75" customHeight="1">
      <c r="A4" s="4" t="str">
        <f t="shared" si="0"/>
        <v>Jan</v>
      </c>
      <c r="B4" s="4">
        <v>3</v>
      </c>
      <c r="C4" s="3">
        <v>21553</v>
      </c>
      <c r="D4" s="4">
        <v>30</v>
      </c>
      <c r="E4" s="15"/>
      <c r="F4" s="8"/>
      <c r="G4" s="8"/>
      <c r="H4" s="8"/>
      <c r="I4" s="5"/>
      <c r="J4" s="8"/>
      <c r="K4" s="15"/>
    </row>
    <row r="5" spans="1:17" ht="15.75" customHeight="1">
      <c r="A5" s="4" t="str">
        <f t="shared" si="0"/>
        <v>Jan</v>
      </c>
      <c r="B5" s="4">
        <v>4</v>
      </c>
      <c r="C5" s="3">
        <v>21554</v>
      </c>
      <c r="D5" s="4">
        <v>31</v>
      </c>
      <c r="E5" s="15"/>
      <c r="F5" s="8"/>
      <c r="G5" s="8"/>
      <c r="H5" s="8"/>
      <c r="I5" s="5"/>
      <c r="J5" s="8"/>
      <c r="K5" s="15"/>
    </row>
    <row r="6" spans="1:17" ht="15.75" customHeight="1">
      <c r="A6" s="4" t="str">
        <f t="shared" si="0"/>
        <v>Jan</v>
      </c>
      <c r="B6" s="4">
        <v>5</v>
      </c>
      <c r="C6" s="3">
        <v>21555</v>
      </c>
      <c r="D6" s="4">
        <v>44</v>
      </c>
      <c r="E6" s="15"/>
      <c r="F6" s="8"/>
      <c r="G6" s="8"/>
      <c r="H6" s="8"/>
      <c r="I6" s="5"/>
      <c r="J6" s="8"/>
      <c r="K6" s="15"/>
    </row>
    <row r="7" spans="1:17" ht="15.75" customHeight="1">
      <c r="A7" s="4" t="str">
        <f t="shared" si="0"/>
        <v>Jan</v>
      </c>
      <c r="B7" s="4">
        <v>6</v>
      </c>
      <c r="C7" s="3">
        <v>21556</v>
      </c>
      <c r="D7" s="4">
        <v>29</v>
      </c>
      <c r="E7" s="15"/>
      <c r="F7" s="8"/>
      <c r="G7" s="8"/>
      <c r="H7" s="8"/>
      <c r="I7" s="5"/>
      <c r="J7" s="8"/>
      <c r="K7" s="15"/>
    </row>
    <row r="8" spans="1:17" ht="15.75" customHeight="1">
      <c r="A8" s="4" t="str">
        <f t="shared" si="0"/>
        <v>Jan</v>
      </c>
      <c r="B8" s="4">
        <v>7</v>
      </c>
      <c r="C8" s="3">
        <v>21557</v>
      </c>
      <c r="D8" s="4">
        <v>45</v>
      </c>
      <c r="E8" s="15"/>
      <c r="F8" s="8"/>
      <c r="G8" s="8"/>
      <c r="H8" s="8"/>
      <c r="I8" s="5"/>
      <c r="J8" s="8"/>
      <c r="K8" s="15"/>
      <c r="N8" s="6" t="s">
        <v>7</v>
      </c>
      <c r="O8" s="7"/>
    </row>
    <row r="9" spans="1:17" ht="15.75" customHeight="1">
      <c r="A9" s="4" t="str">
        <f t="shared" si="0"/>
        <v>Jan</v>
      </c>
      <c r="B9" s="4">
        <v>8</v>
      </c>
      <c r="C9" s="3">
        <v>21558</v>
      </c>
      <c r="D9" s="4">
        <v>43</v>
      </c>
      <c r="E9" s="15"/>
      <c r="F9" s="8"/>
      <c r="G9" s="8"/>
      <c r="H9" s="8"/>
      <c r="I9" s="5"/>
      <c r="J9" s="8"/>
      <c r="K9" s="15"/>
      <c r="N9" s="2" t="s">
        <v>8</v>
      </c>
      <c r="O9" s="8"/>
    </row>
    <row r="10" spans="1:17" ht="15.75" customHeight="1">
      <c r="A10" s="4" t="str">
        <f t="shared" si="0"/>
        <v>Jan</v>
      </c>
      <c r="B10" s="4">
        <v>9</v>
      </c>
      <c r="C10" s="3">
        <v>21559</v>
      </c>
      <c r="D10" s="4">
        <v>38</v>
      </c>
      <c r="E10" s="15"/>
      <c r="F10" s="8"/>
      <c r="G10" s="8"/>
      <c r="H10" s="8"/>
      <c r="I10" s="5"/>
      <c r="J10" s="8"/>
      <c r="K10" s="15"/>
      <c r="N10" s="2" t="s">
        <v>9</v>
      </c>
      <c r="O10" s="5"/>
    </row>
    <row r="11" spans="1:17" ht="15.75" customHeight="1" thickBot="1">
      <c r="A11" s="4" t="str">
        <f t="shared" si="0"/>
        <v>Jan</v>
      </c>
      <c r="B11" s="4">
        <v>10</v>
      </c>
      <c r="C11" s="3">
        <v>21560</v>
      </c>
      <c r="D11" s="4">
        <v>27</v>
      </c>
      <c r="E11" s="15"/>
      <c r="F11" s="8"/>
      <c r="G11" s="8"/>
      <c r="H11" s="8"/>
      <c r="I11" s="5"/>
      <c r="J11" s="8"/>
      <c r="K11" s="15"/>
      <c r="N11" s="16" t="s">
        <v>10</v>
      </c>
      <c r="O11" s="17"/>
    </row>
    <row r="12" spans="1:17" ht="15.75" customHeight="1">
      <c r="A12" s="4" t="str">
        <f t="shared" si="0"/>
        <v>Jan</v>
      </c>
      <c r="B12" s="4">
        <v>11</v>
      </c>
      <c r="C12" s="3">
        <v>21561</v>
      </c>
      <c r="D12" s="4">
        <v>38</v>
      </c>
      <c r="E12" s="15"/>
      <c r="F12" s="8"/>
      <c r="G12" s="8"/>
      <c r="H12" s="8"/>
      <c r="I12" s="5"/>
      <c r="J12" s="8"/>
      <c r="K12" s="15"/>
    </row>
    <row r="13" spans="1:17" ht="15.75" customHeight="1">
      <c r="A13" s="4" t="str">
        <f t="shared" si="0"/>
        <v>Jan</v>
      </c>
      <c r="B13" s="4">
        <v>12</v>
      </c>
      <c r="C13" s="3">
        <v>21562</v>
      </c>
      <c r="D13" s="4">
        <v>33</v>
      </c>
      <c r="E13" s="15"/>
      <c r="F13" s="8"/>
      <c r="G13" s="8"/>
      <c r="H13" s="8"/>
      <c r="I13" s="5"/>
      <c r="J13" s="8"/>
      <c r="K13" s="15"/>
    </row>
    <row r="14" spans="1:17" ht="15.75" customHeight="1">
      <c r="A14" s="4" t="str">
        <f t="shared" si="0"/>
        <v>Jan</v>
      </c>
      <c r="B14" s="4">
        <v>13</v>
      </c>
      <c r="C14" s="3">
        <v>21563</v>
      </c>
      <c r="D14" s="4">
        <v>55</v>
      </c>
      <c r="E14" s="15"/>
      <c r="F14" s="8"/>
      <c r="G14" s="8"/>
      <c r="H14" s="8"/>
      <c r="I14" s="5"/>
      <c r="J14" s="8"/>
      <c r="K14" s="15"/>
      <c r="O14" s="20" t="s">
        <v>23</v>
      </c>
    </row>
    <row r="15" spans="1:17" ht="15.75" customHeight="1">
      <c r="A15" s="4" t="str">
        <f t="shared" si="0"/>
        <v>Jan</v>
      </c>
      <c r="B15" s="4">
        <v>14</v>
      </c>
      <c r="C15" s="3">
        <v>21564</v>
      </c>
      <c r="D15" s="4">
        <v>47</v>
      </c>
      <c r="E15" s="15"/>
      <c r="F15" s="8"/>
      <c r="G15" s="8"/>
      <c r="H15" s="8"/>
      <c r="I15" s="5"/>
      <c r="J15" s="8"/>
      <c r="K15" s="15"/>
      <c r="N15" s="6" t="s">
        <v>17</v>
      </c>
      <c r="O15" s="6" t="s">
        <v>24</v>
      </c>
      <c r="P15" s="6" t="s">
        <v>25</v>
      </c>
      <c r="Q15" s="6" t="s">
        <v>26</v>
      </c>
    </row>
    <row r="16" spans="1:17" ht="15.75" customHeight="1">
      <c r="A16" s="4" t="str">
        <f t="shared" si="0"/>
        <v>Jan</v>
      </c>
      <c r="B16" s="4">
        <v>15</v>
      </c>
      <c r="C16" s="3">
        <v>21565</v>
      </c>
      <c r="D16" s="4">
        <v>45</v>
      </c>
      <c r="E16" s="15"/>
      <c r="F16" s="8"/>
      <c r="G16" s="8"/>
      <c r="H16" s="8"/>
      <c r="I16" s="5"/>
      <c r="J16" s="8"/>
      <c r="K16" s="15"/>
      <c r="N16" s="21" t="s">
        <v>27</v>
      </c>
      <c r="O16" s="15">
        <f t="shared" ref="O16:O27" si="1">AVERAGEIF($A$2:$A$366,N16,$D$2:$D$366)</f>
        <v>39.12903225806452</v>
      </c>
      <c r="P16" s="15">
        <f t="shared" ref="P16:P27" si="2">AVERAGE($D$2:$D$366)</f>
        <v>41.980821917808221</v>
      </c>
      <c r="Q16" s="8">
        <f t="shared" ref="Q16:Q27" si="3">O16/P16</f>
        <v>0.93206922757903476</v>
      </c>
    </row>
    <row r="17" spans="1:17" ht="15.75" customHeight="1">
      <c r="A17" s="4" t="str">
        <f t="shared" si="0"/>
        <v>Jan</v>
      </c>
      <c r="B17" s="4">
        <v>16</v>
      </c>
      <c r="C17" s="3">
        <v>21566</v>
      </c>
      <c r="D17" s="4">
        <v>37</v>
      </c>
      <c r="E17" s="15"/>
      <c r="F17" s="8"/>
      <c r="G17" s="8"/>
      <c r="H17" s="8"/>
      <c r="I17" s="5"/>
      <c r="J17" s="8"/>
      <c r="K17" s="15"/>
      <c r="N17" s="21" t="s">
        <v>28</v>
      </c>
      <c r="O17" s="15">
        <f t="shared" si="1"/>
        <v>41</v>
      </c>
      <c r="P17" s="15">
        <f t="shared" si="2"/>
        <v>41.980821917808221</v>
      </c>
      <c r="Q17" s="8">
        <f t="shared" si="3"/>
        <v>0.97663642889773539</v>
      </c>
    </row>
    <row r="18" spans="1:17" ht="15.75" customHeight="1">
      <c r="A18" s="4" t="str">
        <f t="shared" si="0"/>
        <v>Jan</v>
      </c>
      <c r="B18" s="4">
        <v>17</v>
      </c>
      <c r="C18" s="3">
        <v>21567</v>
      </c>
      <c r="D18" s="4">
        <v>50</v>
      </c>
      <c r="E18" s="15"/>
      <c r="F18" s="8"/>
      <c r="G18" s="8"/>
      <c r="H18" s="8"/>
      <c r="I18" s="5"/>
      <c r="J18" s="8"/>
      <c r="K18" s="15"/>
      <c r="N18" s="21" t="s">
        <v>29</v>
      </c>
      <c r="O18" s="15">
        <f t="shared" si="1"/>
        <v>39.29032258064516</v>
      </c>
      <c r="P18" s="15">
        <f t="shared" si="2"/>
        <v>41.980821917808221</v>
      </c>
      <c r="Q18" s="8">
        <f t="shared" si="3"/>
        <v>0.93591122769271573</v>
      </c>
    </row>
    <row r="19" spans="1:17" ht="15.75" customHeight="1">
      <c r="A19" s="4" t="str">
        <f t="shared" si="0"/>
        <v>Jan</v>
      </c>
      <c r="B19" s="4">
        <v>18</v>
      </c>
      <c r="C19" s="3">
        <v>21568</v>
      </c>
      <c r="D19" s="4">
        <v>43</v>
      </c>
      <c r="E19" s="15"/>
      <c r="F19" s="8"/>
      <c r="G19" s="8"/>
      <c r="H19" s="8"/>
      <c r="I19" s="5"/>
      <c r="J19" s="8"/>
      <c r="K19" s="15"/>
      <c r="N19" s="21" t="s">
        <v>30</v>
      </c>
      <c r="O19" s="15">
        <f t="shared" si="1"/>
        <v>39.833333333333336</v>
      </c>
      <c r="P19" s="15">
        <f t="shared" si="2"/>
        <v>41.980821917808221</v>
      </c>
      <c r="Q19" s="8">
        <f t="shared" si="3"/>
        <v>0.94884596140877553</v>
      </c>
    </row>
    <row r="20" spans="1:17" ht="15.75" customHeight="1">
      <c r="A20" s="4" t="str">
        <f t="shared" si="0"/>
        <v>Jan</v>
      </c>
      <c r="B20" s="4">
        <v>19</v>
      </c>
      <c r="C20" s="3">
        <v>21569</v>
      </c>
      <c r="D20" s="4">
        <v>41</v>
      </c>
      <c r="E20" s="15"/>
      <c r="F20" s="8"/>
      <c r="G20" s="8"/>
      <c r="H20" s="8"/>
      <c r="I20" s="5"/>
      <c r="J20" s="8"/>
      <c r="K20" s="15"/>
      <c r="N20" s="21" t="s">
        <v>31</v>
      </c>
      <c r="O20" s="15">
        <f t="shared" si="1"/>
        <v>38.967741935483872</v>
      </c>
      <c r="P20" s="15">
        <f t="shared" si="2"/>
        <v>41.980821917808221</v>
      </c>
      <c r="Q20" s="8">
        <f t="shared" si="3"/>
        <v>0.92822722746535358</v>
      </c>
    </row>
    <row r="21" spans="1:17" ht="15.75" customHeight="1">
      <c r="A21" s="4" t="str">
        <f t="shared" si="0"/>
        <v>Jan</v>
      </c>
      <c r="B21" s="4">
        <v>20</v>
      </c>
      <c r="C21" s="3">
        <v>21570</v>
      </c>
      <c r="D21" s="4">
        <v>52</v>
      </c>
      <c r="E21" s="15"/>
      <c r="F21" s="8"/>
      <c r="G21" s="8"/>
      <c r="H21" s="8"/>
      <c r="I21" s="5"/>
      <c r="J21" s="8"/>
      <c r="K21" s="15"/>
      <c r="N21" s="21" t="s">
        <v>32</v>
      </c>
      <c r="O21" s="15">
        <f t="shared" si="1"/>
        <v>40.4</v>
      </c>
      <c r="P21" s="15">
        <f t="shared" si="2"/>
        <v>41.980821917808221</v>
      </c>
      <c r="Q21" s="8">
        <f t="shared" si="3"/>
        <v>0.96234418847484171</v>
      </c>
    </row>
    <row r="22" spans="1:17" ht="15.75" customHeight="1">
      <c r="A22" s="4" t="str">
        <f t="shared" si="0"/>
        <v>Jan</v>
      </c>
      <c r="B22" s="4">
        <v>21</v>
      </c>
      <c r="C22" s="3">
        <v>21571</v>
      </c>
      <c r="D22" s="4">
        <v>34</v>
      </c>
      <c r="E22" s="15"/>
      <c r="F22" s="8"/>
      <c r="G22" s="8"/>
      <c r="H22" s="8"/>
      <c r="I22" s="5"/>
      <c r="J22" s="8"/>
      <c r="K22" s="15"/>
      <c r="N22" s="21" t="s">
        <v>33</v>
      </c>
      <c r="O22" s="15">
        <f t="shared" si="1"/>
        <v>41.935483870967744</v>
      </c>
      <c r="P22" s="15">
        <f t="shared" si="2"/>
        <v>41.980821917808221</v>
      </c>
      <c r="Q22" s="8">
        <f t="shared" si="3"/>
        <v>0.99892002955708581</v>
      </c>
    </row>
    <row r="23" spans="1:17" ht="15.75" customHeight="1">
      <c r="A23" s="4" t="str">
        <f t="shared" si="0"/>
        <v>Jan</v>
      </c>
      <c r="B23" s="4">
        <v>22</v>
      </c>
      <c r="C23" s="3">
        <v>21572</v>
      </c>
      <c r="D23" s="4">
        <v>53</v>
      </c>
      <c r="E23" s="15"/>
      <c r="F23" s="8"/>
      <c r="G23" s="8"/>
      <c r="H23" s="8"/>
      <c r="I23" s="5"/>
      <c r="J23" s="8"/>
      <c r="K23" s="15"/>
      <c r="N23" s="21" t="s">
        <v>34</v>
      </c>
      <c r="O23" s="15">
        <f t="shared" si="1"/>
        <v>43.58064516129032</v>
      </c>
      <c r="P23" s="15">
        <f t="shared" si="2"/>
        <v>41.980821917808221</v>
      </c>
      <c r="Q23" s="8">
        <f t="shared" si="3"/>
        <v>1.0381084307166328</v>
      </c>
    </row>
    <row r="24" spans="1:17" ht="15.75" customHeight="1">
      <c r="A24" s="4" t="str">
        <f t="shared" si="0"/>
        <v>Jan</v>
      </c>
      <c r="B24" s="4">
        <v>23</v>
      </c>
      <c r="C24" s="3">
        <v>21573</v>
      </c>
      <c r="D24" s="4">
        <v>39</v>
      </c>
      <c r="E24" s="15"/>
      <c r="F24" s="8"/>
      <c r="G24" s="8"/>
      <c r="H24" s="8"/>
      <c r="I24" s="5"/>
      <c r="J24" s="8"/>
      <c r="K24" s="15"/>
      <c r="N24" s="21" t="s">
        <v>35</v>
      </c>
      <c r="O24" s="15">
        <f t="shared" si="1"/>
        <v>48.2</v>
      </c>
      <c r="P24" s="15">
        <f t="shared" si="2"/>
        <v>41.980821917808221</v>
      </c>
      <c r="Q24" s="8">
        <f t="shared" si="3"/>
        <v>1.1481433139724597</v>
      </c>
    </row>
    <row r="25" spans="1:17" ht="15.75" customHeight="1">
      <c r="A25" s="4" t="str">
        <f t="shared" si="0"/>
        <v>Jan</v>
      </c>
      <c r="B25" s="4">
        <v>24</v>
      </c>
      <c r="C25" s="3">
        <v>21574</v>
      </c>
      <c r="D25" s="4">
        <v>32</v>
      </c>
      <c r="E25" s="15"/>
      <c r="F25" s="8"/>
      <c r="G25" s="8"/>
      <c r="H25" s="8"/>
      <c r="I25" s="5"/>
      <c r="J25" s="8"/>
      <c r="K25" s="15"/>
      <c r="N25" s="21" t="s">
        <v>36</v>
      </c>
      <c r="O25" s="15">
        <f t="shared" si="1"/>
        <v>44.12903225806452</v>
      </c>
      <c r="P25" s="15">
        <f t="shared" si="2"/>
        <v>41.980821917808221</v>
      </c>
      <c r="Q25" s="8">
        <f t="shared" si="3"/>
        <v>1.0511712311031487</v>
      </c>
    </row>
    <row r="26" spans="1:17" ht="15.75" customHeight="1">
      <c r="A26" s="4" t="str">
        <f t="shared" si="0"/>
        <v>Jan</v>
      </c>
      <c r="B26" s="4">
        <v>25</v>
      </c>
      <c r="C26" s="3">
        <v>21575</v>
      </c>
      <c r="D26" s="4">
        <v>37</v>
      </c>
      <c r="E26" s="15"/>
      <c r="F26" s="8"/>
      <c r="G26" s="8"/>
      <c r="H26" s="8"/>
      <c r="I26" s="5"/>
      <c r="J26" s="8"/>
      <c r="K26" s="15"/>
      <c r="N26" s="21" t="s">
        <v>37</v>
      </c>
      <c r="O26" s="15">
        <f t="shared" si="1"/>
        <v>45</v>
      </c>
      <c r="P26" s="15">
        <f t="shared" si="2"/>
        <v>41.980821917808221</v>
      </c>
      <c r="Q26" s="8">
        <f t="shared" si="3"/>
        <v>1.0719180317170267</v>
      </c>
    </row>
    <row r="27" spans="1:17" ht="15.75" customHeight="1" thickBot="1">
      <c r="A27" s="4" t="str">
        <f t="shared" si="0"/>
        <v>Jan</v>
      </c>
      <c r="B27" s="4">
        <v>26</v>
      </c>
      <c r="C27" s="3">
        <v>21576</v>
      </c>
      <c r="D27" s="4">
        <v>43</v>
      </c>
      <c r="E27" s="15"/>
      <c r="F27" s="8"/>
      <c r="G27" s="8"/>
      <c r="H27" s="8"/>
      <c r="I27" s="5"/>
      <c r="J27" s="8"/>
      <c r="K27" s="15"/>
      <c r="N27" s="19" t="s">
        <v>38</v>
      </c>
      <c r="O27" s="22">
        <f t="shared" si="1"/>
        <v>42.387096774193552</v>
      </c>
      <c r="P27" s="22">
        <f t="shared" si="2"/>
        <v>41.980821917808221</v>
      </c>
      <c r="Q27" s="23">
        <f t="shared" si="3"/>
        <v>1.0096776298753929</v>
      </c>
    </row>
    <row r="28" spans="1:17" ht="15.75" customHeight="1">
      <c r="A28" s="4" t="str">
        <f t="shared" si="0"/>
        <v>Jan</v>
      </c>
      <c r="B28" s="4">
        <v>27</v>
      </c>
      <c r="C28" s="3">
        <v>21577</v>
      </c>
      <c r="D28" s="4">
        <v>39</v>
      </c>
      <c r="E28" s="15"/>
      <c r="F28" s="8"/>
      <c r="G28" s="8"/>
      <c r="H28" s="8"/>
      <c r="I28" s="5"/>
      <c r="J28" s="8"/>
      <c r="K28" s="15"/>
    </row>
    <row r="29" spans="1:17" ht="15.75" customHeight="1">
      <c r="A29" s="4" t="str">
        <f t="shared" si="0"/>
        <v>Jan</v>
      </c>
      <c r="B29" s="4">
        <v>28</v>
      </c>
      <c r="C29" s="3">
        <v>21578</v>
      </c>
      <c r="D29" s="4">
        <v>35</v>
      </c>
      <c r="E29" s="15"/>
      <c r="F29" s="8"/>
      <c r="G29" s="8"/>
      <c r="H29" s="8"/>
      <c r="I29" s="5"/>
      <c r="J29" s="8"/>
      <c r="K29" s="15"/>
    </row>
    <row r="30" spans="1:17" ht="15.75" customHeight="1">
      <c r="A30" s="4" t="str">
        <f t="shared" si="0"/>
        <v>Jan</v>
      </c>
      <c r="B30" s="4">
        <v>29</v>
      </c>
      <c r="C30" s="3">
        <v>21579</v>
      </c>
      <c r="D30" s="4">
        <v>44</v>
      </c>
      <c r="E30" s="15"/>
      <c r="F30" s="8"/>
      <c r="G30" s="8"/>
      <c r="H30" s="8"/>
      <c r="I30" s="5"/>
      <c r="J30" s="8"/>
      <c r="K30" s="15"/>
    </row>
    <row r="31" spans="1:17" ht="15.75" customHeight="1">
      <c r="A31" s="4" t="str">
        <f t="shared" si="0"/>
        <v>Jan</v>
      </c>
      <c r="B31" s="4">
        <v>30</v>
      </c>
      <c r="C31" s="3">
        <v>21580</v>
      </c>
      <c r="D31" s="4">
        <v>38</v>
      </c>
      <c r="E31" s="15"/>
      <c r="F31" s="8"/>
      <c r="G31" s="8"/>
      <c r="H31" s="8"/>
      <c r="I31" s="5"/>
      <c r="J31" s="8"/>
      <c r="K31" s="15"/>
    </row>
    <row r="32" spans="1:17" ht="15.75" customHeight="1">
      <c r="A32" s="4" t="str">
        <f t="shared" si="0"/>
        <v>Jan</v>
      </c>
      <c r="B32" s="4">
        <v>31</v>
      </c>
      <c r="C32" s="3">
        <v>21581</v>
      </c>
      <c r="D32" s="4">
        <v>24</v>
      </c>
      <c r="E32" s="15"/>
      <c r="F32" s="8"/>
      <c r="G32" s="8"/>
      <c r="H32" s="8"/>
      <c r="I32" s="5"/>
      <c r="J32" s="8"/>
      <c r="K32" s="15"/>
    </row>
    <row r="33" spans="1:11" ht="15.75" customHeight="1">
      <c r="A33" s="4" t="str">
        <f t="shared" si="0"/>
        <v>Feb</v>
      </c>
      <c r="B33" s="4">
        <v>32</v>
      </c>
      <c r="C33" s="3">
        <v>21582</v>
      </c>
      <c r="D33" s="4">
        <v>23</v>
      </c>
      <c r="E33" s="15"/>
      <c r="F33" s="8"/>
      <c r="G33" s="8"/>
      <c r="H33" s="8"/>
      <c r="I33" s="5"/>
      <c r="J33" s="8"/>
      <c r="K33" s="15"/>
    </row>
    <row r="34" spans="1:11" ht="15.75" customHeight="1">
      <c r="A34" s="4" t="str">
        <f t="shared" si="0"/>
        <v>Feb</v>
      </c>
      <c r="B34" s="4">
        <v>33</v>
      </c>
      <c r="C34" s="3">
        <v>21583</v>
      </c>
      <c r="D34" s="4">
        <v>31</v>
      </c>
      <c r="E34" s="15"/>
      <c r="F34" s="8"/>
      <c r="G34" s="8"/>
      <c r="H34" s="8"/>
      <c r="I34" s="5"/>
      <c r="J34" s="8"/>
      <c r="K34" s="15"/>
    </row>
    <row r="35" spans="1:11" ht="15.75" customHeight="1">
      <c r="A35" s="4" t="str">
        <f t="shared" si="0"/>
        <v>Feb</v>
      </c>
      <c r="B35" s="4">
        <v>34</v>
      </c>
      <c r="C35" s="3">
        <v>21584</v>
      </c>
      <c r="D35" s="4">
        <v>44</v>
      </c>
      <c r="E35" s="15"/>
      <c r="F35" s="8"/>
      <c r="G35" s="8"/>
      <c r="H35" s="8"/>
      <c r="I35" s="5"/>
      <c r="J35" s="8"/>
      <c r="K35" s="15"/>
    </row>
    <row r="36" spans="1:11" ht="15.75" customHeight="1">
      <c r="A36" s="4" t="str">
        <f t="shared" si="0"/>
        <v>Feb</v>
      </c>
      <c r="B36" s="4">
        <v>35</v>
      </c>
      <c r="C36" s="3">
        <v>21585</v>
      </c>
      <c r="D36" s="4">
        <v>38</v>
      </c>
      <c r="E36" s="15"/>
      <c r="F36" s="8"/>
      <c r="G36" s="8"/>
      <c r="H36" s="8"/>
      <c r="I36" s="5"/>
      <c r="J36" s="8"/>
      <c r="K36" s="15"/>
    </row>
    <row r="37" spans="1:11" ht="15.75" customHeight="1">
      <c r="A37" s="4" t="str">
        <f t="shared" si="0"/>
        <v>Feb</v>
      </c>
      <c r="B37" s="4">
        <v>36</v>
      </c>
      <c r="C37" s="3">
        <v>21586</v>
      </c>
      <c r="D37" s="4">
        <v>50</v>
      </c>
      <c r="E37" s="15"/>
      <c r="F37" s="8"/>
      <c r="G37" s="8"/>
      <c r="H37" s="8"/>
      <c r="I37" s="5"/>
      <c r="J37" s="8"/>
      <c r="K37" s="15"/>
    </row>
    <row r="38" spans="1:11" ht="15.75" customHeight="1">
      <c r="A38" s="4" t="str">
        <f t="shared" si="0"/>
        <v>Feb</v>
      </c>
      <c r="B38" s="4">
        <v>37</v>
      </c>
      <c r="C38" s="3">
        <v>21587</v>
      </c>
      <c r="D38" s="4">
        <v>38</v>
      </c>
      <c r="E38" s="15"/>
      <c r="F38" s="8"/>
      <c r="G38" s="8"/>
      <c r="H38" s="8"/>
      <c r="I38" s="5"/>
      <c r="J38" s="8"/>
      <c r="K38" s="15"/>
    </row>
    <row r="39" spans="1:11" ht="15.75" customHeight="1">
      <c r="A39" s="4" t="str">
        <f t="shared" si="0"/>
        <v>Feb</v>
      </c>
      <c r="B39" s="4">
        <v>38</v>
      </c>
      <c r="C39" s="3">
        <v>21588</v>
      </c>
      <c r="D39" s="4">
        <v>51</v>
      </c>
      <c r="E39" s="15"/>
      <c r="F39" s="8"/>
      <c r="G39" s="8"/>
      <c r="H39" s="8"/>
      <c r="I39" s="5"/>
      <c r="J39" s="8"/>
      <c r="K39" s="15"/>
    </row>
    <row r="40" spans="1:11" ht="15.75" customHeight="1">
      <c r="A40" s="4" t="str">
        <f t="shared" si="0"/>
        <v>Feb</v>
      </c>
      <c r="B40" s="4">
        <v>39</v>
      </c>
      <c r="C40" s="3">
        <v>21589</v>
      </c>
      <c r="D40" s="4">
        <v>31</v>
      </c>
      <c r="E40" s="15"/>
      <c r="F40" s="8"/>
      <c r="G40" s="8"/>
      <c r="H40" s="8"/>
      <c r="I40" s="5"/>
      <c r="J40" s="8"/>
      <c r="K40" s="15"/>
    </row>
    <row r="41" spans="1:11" ht="15.75" customHeight="1">
      <c r="A41" s="4" t="str">
        <f t="shared" si="0"/>
        <v>Feb</v>
      </c>
      <c r="B41" s="4">
        <v>40</v>
      </c>
      <c r="C41" s="3">
        <v>21590</v>
      </c>
      <c r="D41" s="4">
        <v>31</v>
      </c>
      <c r="E41" s="15"/>
      <c r="F41" s="8"/>
      <c r="G41" s="8"/>
      <c r="H41" s="8"/>
      <c r="I41" s="5"/>
      <c r="J41" s="8"/>
      <c r="K41" s="15"/>
    </row>
    <row r="42" spans="1:11" ht="15.75" customHeight="1">
      <c r="A42" s="4" t="str">
        <f t="shared" si="0"/>
        <v>Feb</v>
      </c>
      <c r="B42" s="4">
        <v>41</v>
      </c>
      <c r="C42" s="3">
        <v>21591</v>
      </c>
      <c r="D42" s="4">
        <v>51</v>
      </c>
      <c r="E42" s="15"/>
      <c r="F42" s="8"/>
      <c r="G42" s="8"/>
      <c r="H42" s="8"/>
      <c r="I42" s="5"/>
      <c r="J42" s="8"/>
      <c r="K42" s="15"/>
    </row>
    <row r="43" spans="1:11" ht="15.75" customHeight="1">
      <c r="A43" s="4" t="str">
        <f t="shared" si="0"/>
        <v>Feb</v>
      </c>
      <c r="B43" s="4">
        <v>42</v>
      </c>
      <c r="C43" s="3">
        <v>21592</v>
      </c>
      <c r="D43" s="4">
        <v>36</v>
      </c>
      <c r="E43" s="15"/>
      <c r="F43" s="8"/>
      <c r="G43" s="8"/>
      <c r="H43" s="8"/>
      <c r="I43" s="5"/>
      <c r="J43" s="8"/>
      <c r="K43" s="15"/>
    </row>
    <row r="44" spans="1:11" ht="15.75" customHeight="1">
      <c r="A44" s="4" t="str">
        <f t="shared" si="0"/>
        <v>Feb</v>
      </c>
      <c r="B44" s="4">
        <v>43</v>
      </c>
      <c r="C44" s="3">
        <v>21593</v>
      </c>
      <c r="D44" s="4">
        <v>45</v>
      </c>
      <c r="E44" s="15"/>
      <c r="F44" s="8"/>
      <c r="G44" s="8"/>
      <c r="H44" s="8"/>
      <c r="I44" s="5"/>
      <c r="J44" s="8"/>
      <c r="K44" s="15"/>
    </row>
    <row r="45" spans="1:11" ht="15.75" customHeight="1">
      <c r="A45" s="4" t="str">
        <f t="shared" si="0"/>
        <v>Feb</v>
      </c>
      <c r="B45" s="4">
        <v>44</v>
      </c>
      <c r="C45" s="3">
        <v>21594</v>
      </c>
      <c r="D45" s="4">
        <v>51</v>
      </c>
      <c r="E45" s="15"/>
      <c r="F45" s="8"/>
      <c r="G45" s="8"/>
      <c r="H45" s="8"/>
      <c r="I45" s="5"/>
      <c r="J45" s="8"/>
      <c r="K45" s="15"/>
    </row>
    <row r="46" spans="1:11" ht="15.75" customHeight="1">
      <c r="A46" s="4" t="str">
        <f t="shared" si="0"/>
        <v>Feb</v>
      </c>
      <c r="B46" s="4">
        <v>45</v>
      </c>
      <c r="C46" s="3">
        <v>21595</v>
      </c>
      <c r="D46" s="4">
        <v>34</v>
      </c>
      <c r="E46" s="15"/>
      <c r="F46" s="8"/>
      <c r="G46" s="8"/>
      <c r="H46" s="8"/>
      <c r="I46" s="5"/>
      <c r="J46" s="8"/>
      <c r="K46" s="15"/>
    </row>
    <row r="47" spans="1:11" ht="15.75" customHeight="1">
      <c r="A47" s="4" t="str">
        <f t="shared" si="0"/>
        <v>Feb</v>
      </c>
      <c r="B47" s="4">
        <v>46</v>
      </c>
      <c r="C47" s="3">
        <v>21596</v>
      </c>
      <c r="D47" s="4">
        <v>52</v>
      </c>
      <c r="E47" s="15"/>
      <c r="F47" s="8"/>
      <c r="G47" s="8"/>
      <c r="H47" s="8"/>
      <c r="I47" s="5"/>
      <c r="J47" s="8"/>
      <c r="K47" s="15"/>
    </row>
    <row r="48" spans="1:11" ht="15.75" customHeight="1">
      <c r="A48" s="4" t="str">
        <f t="shared" si="0"/>
        <v>Feb</v>
      </c>
      <c r="B48" s="4">
        <v>47</v>
      </c>
      <c r="C48" s="3">
        <v>21597</v>
      </c>
      <c r="D48" s="4">
        <v>47</v>
      </c>
      <c r="E48" s="15"/>
      <c r="F48" s="8"/>
      <c r="G48" s="8"/>
      <c r="H48" s="8"/>
      <c r="I48" s="5"/>
      <c r="J48" s="8"/>
      <c r="K48" s="15"/>
    </row>
    <row r="49" spans="1:11" ht="15.75" customHeight="1">
      <c r="A49" s="4" t="str">
        <f t="shared" si="0"/>
        <v>Feb</v>
      </c>
      <c r="B49" s="4">
        <v>48</v>
      </c>
      <c r="C49" s="3">
        <v>21598</v>
      </c>
      <c r="D49" s="4">
        <v>45</v>
      </c>
      <c r="E49" s="15"/>
      <c r="F49" s="8"/>
      <c r="G49" s="8"/>
      <c r="H49" s="8"/>
      <c r="I49" s="5"/>
      <c r="J49" s="8"/>
      <c r="K49" s="15"/>
    </row>
    <row r="50" spans="1:11" ht="15.75" customHeight="1">
      <c r="A50" s="4" t="str">
        <f t="shared" si="0"/>
        <v>Feb</v>
      </c>
      <c r="B50" s="4">
        <v>49</v>
      </c>
      <c r="C50" s="3">
        <v>21599</v>
      </c>
      <c r="D50" s="4">
        <v>46</v>
      </c>
      <c r="E50" s="15"/>
      <c r="F50" s="8"/>
      <c r="G50" s="8"/>
      <c r="H50" s="8"/>
      <c r="I50" s="5"/>
      <c r="J50" s="8"/>
      <c r="K50" s="15"/>
    </row>
    <row r="51" spans="1:11" ht="15.75" customHeight="1">
      <c r="A51" s="4" t="str">
        <f t="shared" si="0"/>
        <v>Feb</v>
      </c>
      <c r="B51" s="4">
        <v>50</v>
      </c>
      <c r="C51" s="3">
        <v>21600</v>
      </c>
      <c r="D51" s="4">
        <v>39</v>
      </c>
      <c r="E51" s="15"/>
      <c r="F51" s="8"/>
      <c r="G51" s="8"/>
      <c r="H51" s="8"/>
      <c r="I51" s="5"/>
      <c r="J51" s="8"/>
      <c r="K51" s="15"/>
    </row>
    <row r="52" spans="1:11" ht="15.75" customHeight="1">
      <c r="A52" s="4" t="str">
        <f t="shared" si="0"/>
        <v>Feb</v>
      </c>
      <c r="B52" s="4">
        <v>51</v>
      </c>
      <c r="C52" s="3">
        <v>21601</v>
      </c>
      <c r="D52" s="4">
        <v>48</v>
      </c>
      <c r="E52" s="15"/>
      <c r="F52" s="8"/>
      <c r="G52" s="8"/>
      <c r="H52" s="8"/>
      <c r="I52" s="5"/>
      <c r="J52" s="8"/>
      <c r="K52" s="15"/>
    </row>
    <row r="53" spans="1:11" ht="15.75" customHeight="1">
      <c r="A53" s="4" t="str">
        <f t="shared" si="0"/>
        <v>Feb</v>
      </c>
      <c r="B53" s="4">
        <v>52</v>
      </c>
      <c r="C53" s="3">
        <v>21602</v>
      </c>
      <c r="D53" s="4">
        <v>37</v>
      </c>
      <c r="E53" s="15"/>
      <c r="F53" s="8"/>
      <c r="G53" s="8"/>
      <c r="H53" s="8"/>
      <c r="I53" s="5"/>
      <c r="J53" s="8"/>
      <c r="K53" s="15"/>
    </row>
    <row r="54" spans="1:11" ht="15.75" customHeight="1">
      <c r="A54" s="4" t="str">
        <f t="shared" si="0"/>
        <v>Feb</v>
      </c>
      <c r="B54" s="4">
        <v>53</v>
      </c>
      <c r="C54" s="3">
        <v>21603</v>
      </c>
      <c r="D54" s="4">
        <v>35</v>
      </c>
      <c r="E54" s="15"/>
      <c r="F54" s="8"/>
      <c r="G54" s="8"/>
      <c r="H54" s="8"/>
      <c r="I54" s="5"/>
      <c r="J54" s="8"/>
      <c r="K54" s="15"/>
    </row>
    <row r="55" spans="1:11" ht="15.75" customHeight="1">
      <c r="A55" s="4" t="str">
        <f t="shared" si="0"/>
        <v>Feb</v>
      </c>
      <c r="B55" s="4">
        <v>54</v>
      </c>
      <c r="C55" s="3">
        <v>21604</v>
      </c>
      <c r="D55" s="4">
        <v>52</v>
      </c>
      <c r="E55" s="15"/>
      <c r="F55" s="8"/>
      <c r="G55" s="8"/>
      <c r="H55" s="8"/>
      <c r="I55" s="5"/>
      <c r="J55" s="8"/>
      <c r="K55" s="15"/>
    </row>
    <row r="56" spans="1:11" ht="15.75" customHeight="1">
      <c r="A56" s="4" t="str">
        <f t="shared" si="0"/>
        <v>Feb</v>
      </c>
      <c r="B56" s="4">
        <v>55</v>
      </c>
      <c r="C56" s="3">
        <v>21605</v>
      </c>
      <c r="D56" s="4">
        <v>42</v>
      </c>
      <c r="E56" s="15"/>
      <c r="F56" s="8"/>
      <c r="G56" s="8"/>
      <c r="H56" s="8"/>
      <c r="I56" s="5"/>
      <c r="J56" s="8"/>
      <c r="K56" s="15"/>
    </row>
    <row r="57" spans="1:11" ht="15.75" customHeight="1">
      <c r="A57" s="4" t="str">
        <f t="shared" si="0"/>
        <v>Feb</v>
      </c>
      <c r="B57" s="4">
        <v>56</v>
      </c>
      <c r="C57" s="3">
        <v>21606</v>
      </c>
      <c r="D57" s="4">
        <v>45</v>
      </c>
      <c r="E57" s="15"/>
      <c r="F57" s="8"/>
      <c r="G57" s="8"/>
      <c r="H57" s="8"/>
      <c r="I57" s="5"/>
      <c r="J57" s="8"/>
      <c r="K57" s="15"/>
    </row>
    <row r="58" spans="1:11" ht="15.75" customHeight="1">
      <c r="A58" s="4" t="str">
        <f t="shared" si="0"/>
        <v>Feb</v>
      </c>
      <c r="B58" s="4">
        <v>57</v>
      </c>
      <c r="C58" s="3">
        <v>21607</v>
      </c>
      <c r="D58" s="4">
        <v>39</v>
      </c>
      <c r="E58" s="15"/>
      <c r="F58" s="8"/>
      <c r="G58" s="8"/>
      <c r="H58" s="8"/>
      <c r="I58" s="5"/>
      <c r="J58" s="8"/>
      <c r="K58" s="15"/>
    </row>
    <row r="59" spans="1:11" ht="15.75" customHeight="1">
      <c r="A59" s="4" t="str">
        <f t="shared" si="0"/>
        <v>Feb</v>
      </c>
      <c r="B59" s="4">
        <v>58</v>
      </c>
      <c r="C59" s="3">
        <v>21608</v>
      </c>
      <c r="D59" s="4">
        <v>37</v>
      </c>
      <c r="E59" s="15"/>
      <c r="F59" s="8"/>
      <c r="G59" s="8"/>
      <c r="H59" s="8"/>
      <c r="I59" s="5"/>
      <c r="J59" s="8"/>
      <c r="K59" s="15"/>
    </row>
    <row r="60" spans="1:11" ht="15.75" customHeight="1">
      <c r="A60" s="4" t="str">
        <f t="shared" si="0"/>
        <v>Feb</v>
      </c>
      <c r="B60" s="4">
        <v>59</v>
      </c>
      <c r="C60" s="3">
        <v>21609</v>
      </c>
      <c r="D60" s="4">
        <v>30</v>
      </c>
      <c r="E60" s="15"/>
      <c r="F60" s="8"/>
      <c r="G60" s="8"/>
      <c r="H60" s="8"/>
      <c r="I60" s="5"/>
      <c r="J60" s="8"/>
      <c r="K60" s="15"/>
    </row>
    <row r="61" spans="1:11" ht="15.75" customHeight="1">
      <c r="A61" s="4" t="str">
        <f t="shared" si="0"/>
        <v>Mar</v>
      </c>
      <c r="B61" s="4">
        <v>60</v>
      </c>
      <c r="C61" s="3">
        <v>21610</v>
      </c>
      <c r="D61" s="4">
        <v>35</v>
      </c>
      <c r="E61" s="15"/>
      <c r="F61" s="8"/>
      <c r="G61" s="8"/>
      <c r="H61" s="8"/>
      <c r="I61" s="5"/>
      <c r="J61" s="8"/>
      <c r="K61" s="15"/>
    </row>
    <row r="62" spans="1:11" ht="15.75" customHeight="1">
      <c r="A62" s="4" t="str">
        <f t="shared" si="0"/>
        <v>Mar</v>
      </c>
      <c r="B62" s="4">
        <v>61</v>
      </c>
      <c r="C62" s="3">
        <v>21611</v>
      </c>
      <c r="D62" s="4">
        <v>28</v>
      </c>
      <c r="E62" s="15"/>
      <c r="F62" s="8"/>
      <c r="G62" s="8"/>
      <c r="H62" s="8"/>
      <c r="I62" s="5"/>
      <c r="J62" s="8"/>
      <c r="K62" s="15"/>
    </row>
    <row r="63" spans="1:11" ht="15.75" customHeight="1">
      <c r="A63" s="4" t="str">
        <f t="shared" si="0"/>
        <v>Mar</v>
      </c>
      <c r="B63" s="4">
        <v>62</v>
      </c>
      <c r="C63" s="3">
        <v>21612</v>
      </c>
      <c r="D63" s="4">
        <v>45</v>
      </c>
      <c r="E63" s="15"/>
      <c r="F63" s="8"/>
      <c r="G63" s="8"/>
      <c r="H63" s="8"/>
      <c r="I63" s="5"/>
      <c r="J63" s="8"/>
      <c r="K63" s="15"/>
    </row>
    <row r="64" spans="1:11" ht="15.75" customHeight="1">
      <c r="A64" s="4" t="str">
        <f t="shared" si="0"/>
        <v>Mar</v>
      </c>
      <c r="B64" s="4">
        <v>63</v>
      </c>
      <c r="C64" s="3">
        <v>21613</v>
      </c>
      <c r="D64" s="4">
        <v>34</v>
      </c>
      <c r="E64" s="15"/>
      <c r="F64" s="8"/>
      <c r="G64" s="8"/>
      <c r="H64" s="8"/>
      <c r="I64" s="5"/>
      <c r="J64" s="8"/>
      <c r="K64" s="15"/>
    </row>
    <row r="65" spans="1:11" ht="15.75" customHeight="1">
      <c r="A65" s="4" t="str">
        <f t="shared" si="0"/>
        <v>Mar</v>
      </c>
      <c r="B65" s="4">
        <v>64</v>
      </c>
      <c r="C65" s="3">
        <v>21614</v>
      </c>
      <c r="D65" s="4">
        <v>36</v>
      </c>
      <c r="E65" s="15"/>
      <c r="F65" s="8"/>
      <c r="G65" s="8"/>
      <c r="H65" s="8"/>
      <c r="I65" s="5"/>
      <c r="J65" s="8"/>
      <c r="K65" s="15"/>
    </row>
    <row r="66" spans="1:11" ht="15.75" customHeight="1">
      <c r="A66" s="4" t="str">
        <f t="shared" si="0"/>
        <v>Mar</v>
      </c>
      <c r="B66" s="4">
        <v>65</v>
      </c>
      <c r="C66" s="3">
        <v>21615</v>
      </c>
      <c r="D66" s="4">
        <v>50</v>
      </c>
      <c r="E66" s="15"/>
      <c r="F66" s="8"/>
      <c r="G66" s="8"/>
      <c r="H66" s="8"/>
      <c r="I66" s="5"/>
      <c r="J66" s="8"/>
      <c r="K66" s="15"/>
    </row>
    <row r="67" spans="1:11" ht="15.75" customHeight="1">
      <c r="A67" s="4" t="str">
        <f t="shared" si="0"/>
        <v>Mar</v>
      </c>
      <c r="B67" s="4">
        <v>66</v>
      </c>
      <c r="C67" s="3">
        <v>21616</v>
      </c>
      <c r="D67" s="4">
        <v>44</v>
      </c>
      <c r="E67" s="15"/>
      <c r="F67" s="8"/>
      <c r="G67" s="8"/>
      <c r="H67" s="8"/>
      <c r="I67" s="5"/>
      <c r="J67" s="8"/>
      <c r="K67" s="15"/>
    </row>
    <row r="68" spans="1:11" ht="15.75" customHeight="1">
      <c r="A68" s="4" t="str">
        <f t="shared" si="0"/>
        <v>Mar</v>
      </c>
      <c r="B68" s="4">
        <v>67</v>
      </c>
      <c r="C68" s="3">
        <v>21617</v>
      </c>
      <c r="D68" s="4">
        <v>39</v>
      </c>
      <c r="E68" s="15"/>
      <c r="F68" s="8"/>
      <c r="G68" s="8"/>
      <c r="H68" s="8"/>
      <c r="I68" s="5"/>
      <c r="J68" s="8"/>
      <c r="K68" s="15"/>
    </row>
    <row r="69" spans="1:11" ht="15.75" customHeight="1">
      <c r="A69" s="4" t="str">
        <f t="shared" si="0"/>
        <v>Mar</v>
      </c>
      <c r="B69" s="4">
        <v>68</v>
      </c>
      <c r="C69" s="3">
        <v>21618</v>
      </c>
      <c r="D69" s="4">
        <v>32</v>
      </c>
      <c r="E69" s="15"/>
      <c r="F69" s="8"/>
      <c r="G69" s="8"/>
      <c r="H69" s="8"/>
      <c r="I69" s="5"/>
      <c r="J69" s="8"/>
      <c r="K69" s="15"/>
    </row>
    <row r="70" spans="1:11" ht="15.75" customHeight="1">
      <c r="A70" s="4" t="str">
        <f t="shared" si="0"/>
        <v>Mar</v>
      </c>
      <c r="B70" s="4">
        <v>69</v>
      </c>
      <c r="C70" s="3">
        <v>21619</v>
      </c>
      <c r="D70" s="4">
        <v>39</v>
      </c>
      <c r="E70" s="15"/>
      <c r="F70" s="8"/>
      <c r="G70" s="8"/>
      <c r="H70" s="8"/>
      <c r="I70" s="5"/>
      <c r="J70" s="8"/>
      <c r="K70" s="15"/>
    </row>
    <row r="71" spans="1:11" ht="15.75" customHeight="1">
      <c r="A71" s="4" t="str">
        <f t="shared" si="0"/>
        <v>Mar</v>
      </c>
      <c r="B71" s="4">
        <v>70</v>
      </c>
      <c r="C71" s="3">
        <v>21620</v>
      </c>
      <c r="D71" s="4">
        <v>45</v>
      </c>
      <c r="E71" s="15"/>
      <c r="F71" s="8"/>
      <c r="G71" s="8"/>
      <c r="H71" s="8"/>
      <c r="I71" s="5"/>
      <c r="J71" s="8"/>
      <c r="K71" s="15"/>
    </row>
    <row r="72" spans="1:11" ht="15.75" customHeight="1">
      <c r="A72" s="4" t="str">
        <f t="shared" si="0"/>
        <v>Mar</v>
      </c>
      <c r="B72" s="4">
        <v>71</v>
      </c>
      <c r="C72" s="3">
        <v>21621</v>
      </c>
      <c r="D72" s="4">
        <v>43</v>
      </c>
      <c r="E72" s="15"/>
      <c r="F72" s="8"/>
      <c r="G72" s="8"/>
      <c r="H72" s="8"/>
      <c r="I72" s="5"/>
      <c r="J72" s="8"/>
      <c r="K72" s="15"/>
    </row>
    <row r="73" spans="1:11" ht="15.75" customHeight="1">
      <c r="A73" s="4" t="str">
        <f t="shared" si="0"/>
        <v>Mar</v>
      </c>
      <c r="B73" s="4">
        <v>72</v>
      </c>
      <c r="C73" s="3">
        <v>21622</v>
      </c>
      <c r="D73" s="4">
        <v>39</v>
      </c>
      <c r="E73" s="15"/>
      <c r="F73" s="8"/>
      <c r="G73" s="8"/>
      <c r="H73" s="8"/>
      <c r="I73" s="5"/>
      <c r="J73" s="8"/>
      <c r="K73" s="15"/>
    </row>
    <row r="74" spans="1:11" ht="15.75" customHeight="1">
      <c r="A74" s="4" t="str">
        <f t="shared" si="0"/>
        <v>Mar</v>
      </c>
      <c r="B74" s="4">
        <v>73</v>
      </c>
      <c r="C74" s="3">
        <v>21623</v>
      </c>
      <c r="D74" s="4">
        <v>31</v>
      </c>
      <c r="E74" s="15"/>
      <c r="F74" s="8"/>
      <c r="G74" s="8"/>
      <c r="H74" s="8"/>
      <c r="I74" s="5"/>
      <c r="J74" s="8"/>
      <c r="K74" s="15"/>
    </row>
    <row r="75" spans="1:11" ht="15.75" customHeight="1">
      <c r="A75" s="4" t="str">
        <f t="shared" si="0"/>
        <v>Mar</v>
      </c>
      <c r="B75" s="4">
        <v>74</v>
      </c>
      <c r="C75" s="3">
        <v>21624</v>
      </c>
      <c r="D75" s="4">
        <v>27</v>
      </c>
      <c r="E75" s="15"/>
      <c r="F75" s="8"/>
      <c r="G75" s="8"/>
      <c r="H75" s="8"/>
      <c r="I75" s="5"/>
      <c r="J75" s="8"/>
      <c r="K75" s="15"/>
    </row>
    <row r="76" spans="1:11" ht="15.75" customHeight="1">
      <c r="A76" s="4" t="str">
        <f t="shared" si="0"/>
        <v>Mar</v>
      </c>
      <c r="B76" s="4">
        <v>75</v>
      </c>
      <c r="C76" s="3">
        <v>21625</v>
      </c>
      <c r="D76" s="4">
        <v>30</v>
      </c>
      <c r="E76" s="15"/>
      <c r="F76" s="8"/>
      <c r="G76" s="8"/>
      <c r="H76" s="8"/>
      <c r="I76" s="5"/>
      <c r="J76" s="8"/>
      <c r="K76" s="15"/>
    </row>
    <row r="77" spans="1:11" ht="15.75" customHeight="1">
      <c r="A77" s="4" t="str">
        <f t="shared" si="0"/>
        <v>Mar</v>
      </c>
      <c r="B77" s="4">
        <v>76</v>
      </c>
      <c r="C77" s="3">
        <v>21626</v>
      </c>
      <c r="D77" s="4">
        <v>42</v>
      </c>
      <c r="E77" s="15"/>
      <c r="F77" s="8"/>
      <c r="G77" s="8"/>
      <c r="H77" s="8"/>
      <c r="I77" s="5"/>
      <c r="J77" s="8"/>
      <c r="K77" s="15"/>
    </row>
    <row r="78" spans="1:11" ht="15.75" customHeight="1">
      <c r="A78" s="4" t="str">
        <f t="shared" si="0"/>
        <v>Mar</v>
      </c>
      <c r="B78" s="4">
        <v>77</v>
      </c>
      <c r="C78" s="3">
        <v>21627</v>
      </c>
      <c r="D78" s="4">
        <v>46</v>
      </c>
      <c r="E78" s="15"/>
      <c r="F78" s="8"/>
      <c r="G78" s="8"/>
      <c r="H78" s="8"/>
      <c r="I78" s="5"/>
      <c r="J78" s="8"/>
      <c r="K78" s="15"/>
    </row>
    <row r="79" spans="1:11" ht="15.75" customHeight="1">
      <c r="A79" s="4" t="str">
        <f t="shared" si="0"/>
        <v>Mar</v>
      </c>
      <c r="B79" s="4">
        <v>78</v>
      </c>
      <c r="C79" s="3">
        <v>21628</v>
      </c>
      <c r="D79" s="4">
        <v>41</v>
      </c>
      <c r="E79" s="15"/>
      <c r="F79" s="8"/>
      <c r="G79" s="8"/>
      <c r="H79" s="8"/>
      <c r="I79" s="5"/>
      <c r="J79" s="8"/>
      <c r="K79" s="15"/>
    </row>
    <row r="80" spans="1:11" ht="15.75" customHeight="1">
      <c r="A80" s="4" t="str">
        <f t="shared" si="0"/>
        <v>Mar</v>
      </c>
      <c r="B80" s="4">
        <v>79</v>
      </c>
      <c r="C80" s="3">
        <v>21629</v>
      </c>
      <c r="D80" s="4">
        <v>36</v>
      </c>
      <c r="E80" s="15"/>
      <c r="F80" s="8"/>
      <c r="G80" s="8"/>
      <c r="H80" s="8"/>
      <c r="I80" s="5"/>
      <c r="J80" s="8"/>
      <c r="K80" s="15"/>
    </row>
    <row r="81" spans="1:11" ht="15.75" customHeight="1">
      <c r="A81" s="4" t="str">
        <f t="shared" si="0"/>
        <v>Mar</v>
      </c>
      <c r="B81" s="4">
        <v>80</v>
      </c>
      <c r="C81" s="3">
        <v>21630</v>
      </c>
      <c r="D81" s="4">
        <v>45</v>
      </c>
      <c r="E81" s="15"/>
      <c r="F81" s="8"/>
      <c r="G81" s="8"/>
      <c r="H81" s="8"/>
      <c r="I81" s="5"/>
      <c r="J81" s="8"/>
      <c r="K81" s="15"/>
    </row>
    <row r="82" spans="1:11" ht="15.75" customHeight="1">
      <c r="A82" s="4" t="str">
        <f t="shared" si="0"/>
        <v>Mar</v>
      </c>
      <c r="B82" s="4">
        <v>81</v>
      </c>
      <c r="C82" s="3">
        <v>21631</v>
      </c>
      <c r="D82" s="4">
        <v>46</v>
      </c>
      <c r="E82" s="15"/>
      <c r="F82" s="8"/>
      <c r="G82" s="8"/>
      <c r="H82" s="8"/>
      <c r="I82" s="5"/>
      <c r="J82" s="8"/>
      <c r="K82" s="15"/>
    </row>
    <row r="83" spans="1:11" ht="15.75" customHeight="1">
      <c r="A83" s="4" t="str">
        <f t="shared" si="0"/>
        <v>Mar</v>
      </c>
      <c r="B83" s="4">
        <v>82</v>
      </c>
      <c r="C83" s="3">
        <v>21632</v>
      </c>
      <c r="D83" s="4">
        <v>43</v>
      </c>
      <c r="E83" s="15"/>
      <c r="F83" s="8"/>
      <c r="G83" s="8"/>
      <c r="H83" s="8"/>
      <c r="I83" s="5"/>
      <c r="J83" s="8"/>
      <c r="K83" s="15"/>
    </row>
    <row r="84" spans="1:11" ht="15.75" customHeight="1">
      <c r="A84" s="4" t="str">
        <f t="shared" si="0"/>
        <v>Mar</v>
      </c>
      <c r="B84" s="4">
        <v>83</v>
      </c>
      <c r="C84" s="3">
        <v>21633</v>
      </c>
      <c r="D84" s="4">
        <v>38</v>
      </c>
      <c r="E84" s="15"/>
      <c r="F84" s="8"/>
      <c r="G84" s="8"/>
      <c r="H84" s="8"/>
      <c r="I84" s="5"/>
      <c r="J84" s="8"/>
      <c r="K84" s="15"/>
    </row>
    <row r="85" spans="1:11" ht="15.75" customHeight="1">
      <c r="A85" s="4" t="str">
        <f t="shared" si="0"/>
        <v>Mar</v>
      </c>
      <c r="B85" s="4">
        <v>84</v>
      </c>
      <c r="C85" s="3">
        <v>21634</v>
      </c>
      <c r="D85" s="4">
        <v>34</v>
      </c>
      <c r="E85" s="15"/>
      <c r="F85" s="8"/>
      <c r="G85" s="8"/>
      <c r="H85" s="8"/>
      <c r="I85" s="5"/>
      <c r="J85" s="8"/>
      <c r="K85" s="15"/>
    </row>
    <row r="86" spans="1:11" ht="15.75" customHeight="1">
      <c r="A86" s="4" t="str">
        <f t="shared" si="0"/>
        <v>Mar</v>
      </c>
      <c r="B86" s="4">
        <v>85</v>
      </c>
      <c r="C86" s="3">
        <v>21635</v>
      </c>
      <c r="D86" s="4">
        <v>35</v>
      </c>
      <c r="E86" s="15"/>
      <c r="F86" s="8"/>
      <c r="G86" s="8"/>
      <c r="H86" s="8"/>
      <c r="I86" s="5"/>
      <c r="J86" s="8"/>
      <c r="K86" s="15"/>
    </row>
    <row r="87" spans="1:11" ht="15.75" customHeight="1">
      <c r="A87" s="4" t="str">
        <f t="shared" si="0"/>
        <v>Mar</v>
      </c>
      <c r="B87" s="4">
        <v>86</v>
      </c>
      <c r="C87" s="3">
        <v>21636</v>
      </c>
      <c r="D87" s="4">
        <v>56</v>
      </c>
      <c r="E87" s="15"/>
      <c r="F87" s="8"/>
      <c r="G87" s="8"/>
      <c r="H87" s="8"/>
      <c r="I87" s="5"/>
      <c r="J87" s="8"/>
      <c r="K87" s="15"/>
    </row>
    <row r="88" spans="1:11" ht="15.75" customHeight="1">
      <c r="A88" s="4" t="str">
        <f t="shared" si="0"/>
        <v>Mar</v>
      </c>
      <c r="B88" s="4">
        <v>87</v>
      </c>
      <c r="C88" s="3">
        <v>21637</v>
      </c>
      <c r="D88" s="4">
        <v>36</v>
      </c>
      <c r="E88" s="15"/>
      <c r="F88" s="8"/>
      <c r="G88" s="8"/>
      <c r="H88" s="8"/>
      <c r="I88" s="5"/>
      <c r="J88" s="8"/>
      <c r="K88" s="15"/>
    </row>
    <row r="89" spans="1:11" ht="15.75" customHeight="1">
      <c r="A89" s="4" t="str">
        <f t="shared" si="0"/>
        <v>Mar</v>
      </c>
      <c r="B89" s="4">
        <v>88</v>
      </c>
      <c r="C89" s="3">
        <v>21638</v>
      </c>
      <c r="D89" s="4">
        <v>32</v>
      </c>
      <c r="E89" s="15"/>
      <c r="F89" s="8"/>
      <c r="G89" s="8"/>
      <c r="H89" s="8"/>
      <c r="I89" s="5"/>
      <c r="J89" s="8"/>
      <c r="K89" s="15"/>
    </row>
    <row r="90" spans="1:11" ht="15.75" customHeight="1">
      <c r="A90" s="4" t="str">
        <f t="shared" si="0"/>
        <v>Mar</v>
      </c>
      <c r="B90" s="4">
        <v>89</v>
      </c>
      <c r="C90" s="3">
        <v>21639</v>
      </c>
      <c r="D90" s="4">
        <v>50</v>
      </c>
      <c r="E90" s="15"/>
      <c r="F90" s="8"/>
      <c r="G90" s="8"/>
      <c r="H90" s="8"/>
      <c r="I90" s="5"/>
      <c r="J90" s="8"/>
      <c r="K90" s="15"/>
    </row>
    <row r="91" spans="1:11" ht="15.75" customHeight="1">
      <c r="A91" s="4" t="str">
        <f t="shared" si="0"/>
        <v>Mar</v>
      </c>
      <c r="B91" s="4">
        <v>90</v>
      </c>
      <c r="C91" s="3">
        <v>21640</v>
      </c>
      <c r="D91" s="4">
        <v>41</v>
      </c>
      <c r="E91" s="15"/>
      <c r="F91" s="8"/>
      <c r="G91" s="8"/>
      <c r="H91" s="8"/>
      <c r="I91" s="5"/>
      <c r="J91" s="8"/>
      <c r="K91" s="15"/>
    </row>
    <row r="92" spans="1:11" ht="15.75" customHeight="1">
      <c r="A92" s="4" t="str">
        <f t="shared" si="0"/>
        <v>Apr</v>
      </c>
      <c r="B92" s="4">
        <v>91</v>
      </c>
      <c r="C92" s="3">
        <v>21641</v>
      </c>
      <c r="D92" s="4">
        <v>39</v>
      </c>
      <c r="E92" s="15"/>
      <c r="F92" s="8"/>
      <c r="G92" s="8"/>
      <c r="H92" s="8"/>
      <c r="I92" s="5"/>
      <c r="J92" s="8"/>
      <c r="K92" s="15"/>
    </row>
    <row r="93" spans="1:11" ht="15.75" customHeight="1">
      <c r="A93" s="4" t="str">
        <f t="shared" si="0"/>
        <v>Apr</v>
      </c>
      <c r="B93" s="4">
        <v>92</v>
      </c>
      <c r="C93" s="3">
        <v>21642</v>
      </c>
      <c r="D93" s="4">
        <v>41</v>
      </c>
      <c r="E93" s="15"/>
      <c r="F93" s="8"/>
      <c r="G93" s="8"/>
      <c r="H93" s="8"/>
      <c r="I93" s="5"/>
      <c r="J93" s="8"/>
      <c r="K93" s="15"/>
    </row>
    <row r="94" spans="1:11" ht="15.75" customHeight="1">
      <c r="A94" s="4" t="str">
        <f t="shared" si="0"/>
        <v>Apr</v>
      </c>
      <c r="B94" s="4">
        <v>93</v>
      </c>
      <c r="C94" s="3">
        <v>21643</v>
      </c>
      <c r="D94" s="4">
        <v>47</v>
      </c>
      <c r="E94" s="15"/>
      <c r="F94" s="8"/>
      <c r="G94" s="8"/>
      <c r="H94" s="8"/>
      <c r="I94" s="5"/>
      <c r="J94" s="8"/>
      <c r="K94" s="15"/>
    </row>
    <row r="95" spans="1:11" ht="15.75" customHeight="1">
      <c r="A95" s="4" t="str">
        <f t="shared" si="0"/>
        <v>Apr</v>
      </c>
      <c r="B95" s="4">
        <v>94</v>
      </c>
      <c r="C95" s="3">
        <v>21644</v>
      </c>
      <c r="D95" s="4">
        <v>34</v>
      </c>
      <c r="E95" s="15"/>
      <c r="F95" s="8"/>
      <c r="G95" s="8"/>
      <c r="H95" s="8"/>
      <c r="I95" s="5"/>
      <c r="J95" s="8"/>
      <c r="K95" s="15"/>
    </row>
    <row r="96" spans="1:11" ht="15.75" customHeight="1">
      <c r="A96" s="4" t="str">
        <f t="shared" si="0"/>
        <v>Apr</v>
      </c>
      <c r="B96" s="4">
        <v>95</v>
      </c>
      <c r="C96" s="3">
        <v>21645</v>
      </c>
      <c r="D96" s="4">
        <v>36</v>
      </c>
      <c r="E96" s="15"/>
      <c r="F96" s="8"/>
      <c r="G96" s="8"/>
      <c r="H96" s="8"/>
      <c r="I96" s="5"/>
      <c r="J96" s="8"/>
      <c r="K96" s="15"/>
    </row>
    <row r="97" spans="1:11" ht="15.75" customHeight="1">
      <c r="A97" s="4" t="str">
        <f t="shared" si="0"/>
        <v>Apr</v>
      </c>
      <c r="B97" s="4">
        <v>96</v>
      </c>
      <c r="C97" s="3">
        <v>21646</v>
      </c>
      <c r="D97" s="4">
        <v>33</v>
      </c>
      <c r="E97" s="15"/>
      <c r="F97" s="8"/>
      <c r="G97" s="8"/>
      <c r="H97" s="8"/>
      <c r="I97" s="5"/>
      <c r="J97" s="8"/>
      <c r="K97" s="15"/>
    </row>
    <row r="98" spans="1:11" ht="15.75" customHeight="1">
      <c r="A98" s="4" t="str">
        <f t="shared" si="0"/>
        <v>Apr</v>
      </c>
      <c r="B98" s="4">
        <v>97</v>
      </c>
      <c r="C98" s="3">
        <v>21647</v>
      </c>
      <c r="D98" s="4">
        <v>35</v>
      </c>
      <c r="E98" s="15"/>
      <c r="F98" s="8"/>
      <c r="G98" s="8"/>
      <c r="H98" s="8"/>
      <c r="I98" s="5"/>
      <c r="J98" s="8"/>
      <c r="K98" s="15"/>
    </row>
    <row r="99" spans="1:11" ht="15.75" customHeight="1">
      <c r="A99" s="4" t="str">
        <f t="shared" si="0"/>
        <v>Apr</v>
      </c>
      <c r="B99" s="4">
        <v>98</v>
      </c>
      <c r="C99" s="3">
        <v>21648</v>
      </c>
      <c r="D99" s="4">
        <v>38</v>
      </c>
      <c r="E99" s="15"/>
      <c r="F99" s="8"/>
      <c r="G99" s="8"/>
      <c r="H99" s="8"/>
      <c r="I99" s="5"/>
      <c r="J99" s="8"/>
      <c r="K99" s="15"/>
    </row>
    <row r="100" spans="1:11" ht="15.75" customHeight="1">
      <c r="A100" s="4" t="str">
        <f t="shared" si="0"/>
        <v>Apr</v>
      </c>
      <c r="B100" s="4">
        <v>99</v>
      </c>
      <c r="C100" s="3">
        <v>21649</v>
      </c>
      <c r="D100" s="4">
        <v>38</v>
      </c>
      <c r="E100" s="15"/>
      <c r="F100" s="8"/>
      <c r="G100" s="8"/>
      <c r="H100" s="8"/>
      <c r="I100" s="5"/>
      <c r="J100" s="8"/>
      <c r="K100" s="15"/>
    </row>
    <row r="101" spans="1:11" ht="15.75" customHeight="1">
      <c r="A101" s="4" t="str">
        <f t="shared" si="0"/>
        <v>Apr</v>
      </c>
      <c r="B101" s="4">
        <v>100</v>
      </c>
      <c r="C101" s="3">
        <v>21650</v>
      </c>
      <c r="D101" s="4">
        <v>34</v>
      </c>
      <c r="E101" s="15"/>
      <c r="F101" s="8"/>
      <c r="G101" s="8"/>
      <c r="H101" s="8"/>
      <c r="I101" s="5"/>
      <c r="J101" s="8"/>
      <c r="K101" s="15"/>
    </row>
    <row r="102" spans="1:11" ht="15.75" customHeight="1">
      <c r="A102" s="4" t="str">
        <f t="shared" si="0"/>
        <v>Apr</v>
      </c>
      <c r="B102" s="4">
        <v>101</v>
      </c>
      <c r="C102" s="3">
        <v>21651</v>
      </c>
      <c r="D102" s="4">
        <v>53</v>
      </c>
      <c r="E102" s="15"/>
      <c r="F102" s="8"/>
      <c r="G102" s="8"/>
      <c r="H102" s="8"/>
      <c r="I102" s="5"/>
      <c r="J102" s="8"/>
      <c r="K102" s="15"/>
    </row>
    <row r="103" spans="1:11" ht="15.75" customHeight="1">
      <c r="A103" s="4" t="str">
        <f t="shared" si="0"/>
        <v>Apr</v>
      </c>
      <c r="B103" s="4">
        <v>102</v>
      </c>
      <c r="C103" s="3">
        <v>21652</v>
      </c>
      <c r="D103" s="4">
        <v>34</v>
      </c>
      <c r="E103" s="15"/>
      <c r="F103" s="8"/>
      <c r="G103" s="8"/>
      <c r="H103" s="8"/>
      <c r="I103" s="5"/>
      <c r="J103" s="8"/>
      <c r="K103" s="15"/>
    </row>
    <row r="104" spans="1:11" ht="15.75" customHeight="1">
      <c r="A104" s="4" t="str">
        <f t="shared" si="0"/>
        <v>Apr</v>
      </c>
      <c r="B104" s="4">
        <v>103</v>
      </c>
      <c r="C104" s="3">
        <v>21653</v>
      </c>
      <c r="D104" s="4">
        <v>34</v>
      </c>
      <c r="E104" s="15"/>
      <c r="F104" s="8"/>
      <c r="G104" s="8"/>
      <c r="H104" s="8"/>
      <c r="I104" s="5"/>
      <c r="J104" s="8"/>
      <c r="K104" s="15"/>
    </row>
    <row r="105" spans="1:11" ht="15.75" customHeight="1">
      <c r="A105" s="4" t="str">
        <f t="shared" si="0"/>
        <v>Apr</v>
      </c>
      <c r="B105" s="4">
        <v>104</v>
      </c>
      <c r="C105" s="3">
        <v>21654</v>
      </c>
      <c r="D105" s="4">
        <v>38</v>
      </c>
      <c r="E105" s="15"/>
      <c r="F105" s="8"/>
      <c r="G105" s="8"/>
      <c r="H105" s="8"/>
      <c r="I105" s="5"/>
      <c r="J105" s="8"/>
      <c r="K105" s="15"/>
    </row>
    <row r="106" spans="1:11" ht="15.75" customHeight="1">
      <c r="A106" s="4" t="str">
        <f t="shared" si="0"/>
        <v>Apr</v>
      </c>
      <c r="B106" s="4">
        <v>105</v>
      </c>
      <c r="C106" s="3">
        <v>21655</v>
      </c>
      <c r="D106" s="4">
        <v>35</v>
      </c>
      <c r="E106" s="15"/>
      <c r="F106" s="8"/>
      <c r="G106" s="8"/>
      <c r="H106" s="8"/>
      <c r="I106" s="5"/>
      <c r="J106" s="8"/>
      <c r="K106" s="15"/>
    </row>
    <row r="107" spans="1:11" ht="15.75" customHeight="1">
      <c r="A107" s="4" t="str">
        <f t="shared" si="0"/>
        <v>Apr</v>
      </c>
      <c r="B107" s="4">
        <v>106</v>
      </c>
      <c r="C107" s="3">
        <v>21656</v>
      </c>
      <c r="D107" s="4">
        <v>32</v>
      </c>
      <c r="E107" s="15"/>
      <c r="F107" s="8"/>
      <c r="G107" s="8"/>
      <c r="H107" s="8"/>
      <c r="I107" s="5"/>
      <c r="J107" s="8"/>
      <c r="K107" s="15"/>
    </row>
    <row r="108" spans="1:11" ht="15.75" customHeight="1">
      <c r="A108" s="4" t="str">
        <f t="shared" si="0"/>
        <v>Apr</v>
      </c>
      <c r="B108" s="4">
        <v>107</v>
      </c>
      <c r="C108" s="3">
        <v>21657</v>
      </c>
      <c r="D108" s="4">
        <v>42</v>
      </c>
      <c r="E108" s="15"/>
      <c r="F108" s="8"/>
      <c r="G108" s="8"/>
      <c r="H108" s="8"/>
      <c r="I108" s="5"/>
      <c r="J108" s="8"/>
      <c r="K108" s="15"/>
    </row>
    <row r="109" spans="1:11" ht="15.75" customHeight="1">
      <c r="A109" s="4" t="str">
        <f t="shared" si="0"/>
        <v>Apr</v>
      </c>
      <c r="B109" s="4">
        <v>108</v>
      </c>
      <c r="C109" s="3">
        <v>21658</v>
      </c>
      <c r="D109" s="4">
        <v>34</v>
      </c>
      <c r="E109" s="15"/>
      <c r="F109" s="8"/>
      <c r="G109" s="8"/>
      <c r="H109" s="8"/>
      <c r="I109" s="5"/>
      <c r="J109" s="8"/>
      <c r="K109" s="15"/>
    </row>
    <row r="110" spans="1:11" ht="15.75" customHeight="1">
      <c r="A110" s="4" t="str">
        <f t="shared" si="0"/>
        <v>Apr</v>
      </c>
      <c r="B110" s="4">
        <v>109</v>
      </c>
      <c r="C110" s="3">
        <v>21659</v>
      </c>
      <c r="D110" s="4">
        <v>46</v>
      </c>
      <c r="E110" s="15"/>
      <c r="F110" s="8"/>
      <c r="G110" s="8"/>
      <c r="H110" s="8"/>
      <c r="I110" s="5"/>
      <c r="J110" s="8"/>
      <c r="K110" s="15"/>
    </row>
    <row r="111" spans="1:11" ht="15.75" customHeight="1">
      <c r="A111" s="4" t="str">
        <f t="shared" si="0"/>
        <v>Apr</v>
      </c>
      <c r="B111" s="4">
        <v>110</v>
      </c>
      <c r="C111" s="3">
        <v>21660</v>
      </c>
      <c r="D111" s="4">
        <v>30</v>
      </c>
      <c r="E111" s="15"/>
      <c r="F111" s="8"/>
      <c r="G111" s="8"/>
      <c r="H111" s="8"/>
      <c r="I111" s="5"/>
      <c r="J111" s="8"/>
      <c r="K111" s="15"/>
    </row>
    <row r="112" spans="1:11" ht="15.75" customHeight="1">
      <c r="A112" s="4" t="str">
        <f t="shared" si="0"/>
        <v>Apr</v>
      </c>
      <c r="B112" s="4">
        <v>111</v>
      </c>
      <c r="C112" s="3">
        <v>21661</v>
      </c>
      <c r="D112" s="4">
        <v>46</v>
      </c>
      <c r="E112" s="15"/>
      <c r="F112" s="8"/>
      <c r="G112" s="8"/>
      <c r="H112" s="8"/>
      <c r="I112" s="5"/>
      <c r="J112" s="8"/>
      <c r="K112" s="15"/>
    </row>
    <row r="113" spans="1:11" ht="15.75" customHeight="1">
      <c r="A113" s="4" t="str">
        <f t="shared" si="0"/>
        <v>Apr</v>
      </c>
      <c r="B113" s="4">
        <v>112</v>
      </c>
      <c r="C113" s="3">
        <v>21662</v>
      </c>
      <c r="D113" s="4">
        <v>45</v>
      </c>
      <c r="E113" s="15"/>
      <c r="F113" s="8"/>
      <c r="G113" s="8"/>
      <c r="H113" s="8"/>
      <c r="I113" s="5"/>
      <c r="J113" s="8"/>
      <c r="K113" s="15"/>
    </row>
    <row r="114" spans="1:11" ht="15.75" customHeight="1">
      <c r="A114" s="4" t="str">
        <f t="shared" si="0"/>
        <v>Apr</v>
      </c>
      <c r="B114" s="4">
        <v>113</v>
      </c>
      <c r="C114" s="3">
        <v>21663</v>
      </c>
      <c r="D114" s="4">
        <v>54</v>
      </c>
      <c r="E114" s="15"/>
      <c r="F114" s="8"/>
      <c r="G114" s="8"/>
      <c r="H114" s="8"/>
      <c r="I114" s="5"/>
      <c r="J114" s="8"/>
      <c r="K114" s="15"/>
    </row>
    <row r="115" spans="1:11" ht="15.75" customHeight="1">
      <c r="A115" s="4" t="str">
        <f t="shared" si="0"/>
        <v>Apr</v>
      </c>
      <c r="B115" s="4">
        <v>114</v>
      </c>
      <c r="C115" s="3">
        <v>21664</v>
      </c>
      <c r="D115" s="4">
        <v>34</v>
      </c>
      <c r="E115" s="15"/>
      <c r="F115" s="8"/>
      <c r="G115" s="8"/>
      <c r="H115" s="8"/>
      <c r="I115" s="5"/>
      <c r="J115" s="8"/>
      <c r="K115" s="15"/>
    </row>
    <row r="116" spans="1:11" ht="15.75" customHeight="1">
      <c r="A116" s="4" t="str">
        <f t="shared" si="0"/>
        <v>Apr</v>
      </c>
      <c r="B116" s="4">
        <v>115</v>
      </c>
      <c r="C116" s="3">
        <v>21665</v>
      </c>
      <c r="D116" s="4">
        <v>37</v>
      </c>
      <c r="E116" s="15"/>
      <c r="F116" s="8"/>
      <c r="G116" s="8"/>
      <c r="H116" s="8"/>
      <c r="I116" s="5"/>
      <c r="J116" s="8"/>
      <c r="K116" s="15"/>
    </row>
    <row r="117" spans="1:11" ht="15.75" customHeight="1">
      <c r="A117" s="4" t="str">
        <f t="shared" si="0"/>
        <v>Apr</v>
      </c>
      <c r="B117" s="4">
        <v>116</v>
      </c>
      <c r="C117" s="3">
        <v>21666</v>
      </c>
      <c r="D117" s="4">
        <v>35</v>
      </c>
      <c r="E117" s="15"/>
      <c r="F117" s="8"/>
      <c r="G117" s="8"/>
      <c r="H117" s="8"/>
      <c r="I117" s="5"/>
      <c r="J117" s="8"/>
      <c r="K117" s="15"/>
    </row>
    <row r="118" spans="1:11" ht="15.75" customHeight="1">
      <c r="A118" s="4" t="str">
        <f t="shared" si="0"/>
        <v>Apr</v>
      </c>
      <c r="B118" s="4">
        <v>117</v>
      </c>
      <c r="C118" s="3">
        <v>21667</v>
      </c>
      <c r="D118" s="4">
        <v>40</v>
      </c>
      <c r="E118" s="15"/>
      <c r="F118" s="8"/>
      <c r="G118" s="8"/>
      <c r="H118" s="8"/>
      <c r="I118" s="5"/>
      <c r="J118" s="8"/>
      <c r="K118" s="15"/>
    </row>
    <row r="119" spans="1:11" ht="15.75" customHeight="1">
      <c r="A119" s="4" t="str">
        <f t="shared" si="0"/>
        <v>Apr</v>
      </c>
      <c r="B119" s="4">
        <v>118</v>
      </c>
      <c r="C119" s="3">
        <v>21668</v>
      </c>
      <c r="D119" s="4">
        <v>42</v>
      </c>
      <c r="E119" s="15"/>
      <c r="F119" s="8"/>
      <c r="G119" s="8"/>
      <c r="H119" s="8"/>
      <c r="I119" s="5"/>
      <c r="J119" s="8"/>
      <c r="K119" s="15"/>
    </row>
    <row r="120" spans="1:11" ht="15.75" customHeight="1">
      <c r="A120" s="4" t="str">
        <f t="shared" si="0"/>
        <v>Apr</v>
      </c>
      <c r="B120" s="4">
        <v>119</v>
      </c>
      <c r="C120" s="3">
        <v>21669</v>
      </c>
      <c r="D120" s="4">
        <v>58</v>
      </c>
      <c r="E120" s="15"/>
      <c r="F120" s="8"/>
      <c r="G120" s="8"/>
      <c r="H120" s="8"/>
      <c r="I120" s="5"/>
      <c r="J120" s="8"/>
      <c r="K120" s="15"/>
    </row>
    <row r="121" spans="1:11" ht="15.75" customHeight="1">
      <c r="A121" s="4" t="str">
        <f t="shared" si="0"/>
        <v>Apr</v>
      </c>
      <c r="B121" s="4">
        <v>120</v>
      </c>
      <c r="C121" s="3">
        <v>21670</v>
      </c>
      <c r="D121" s="4">
        <v>51</v>
      </c>
      <c r="E121" s="15"/>
      <c r="F121" s="8"/>
      <c r="G121" s="8"/>
      <c r="H121" s="8"/>
      <c r="I121" s="5"/>
      <c r="J121" s="8"/>
      <c r="K121" s="15"/>
    </row>
    <row r="122" spans="1:11" ht="15.75" customHeight="1">
      <c r="A122" s="4" t="str">
        <f t="shared" si="0"/>
        <v>May</v>
      </c>
      <c r="B122" s="4">
        <v>121</v>
      </c>
      <c r="C122" s="3">
        <v>21671</v>
      </c>
      <c r="D122" s="4">
        <v>32</v>
      </c>
      <c r="E122" s="15"/>
      <c r="F122" s="8"/>
      <c r="G122" s="8"/>
      <c r="H122" s="8"/>
      <c r="I122" s="5"/>
      <c r="J122" s="8"/>
      <c r="K122" s="15"/>
    </row>
    <row r="123" spans="1:11" ht="15.75" customHeight="1">
      <c r="A123" s="4" t="str">
        <f t="shared" si="0"/>
        <v>May</v>
      </c>
      <c r="B123" s="4">
        <v>122</v>
      </c>
      <c r="C123" s="3">
        <v>21672</v>
      </c>
      <c r="D123" s="4">
        <v>35</v>
      </c>
      <c r="E123" s="15"/>
      <c r="F123" s="8"/>
      <c r="G123" s="8"/>
      <c r="H123" s="8"/>
      <c r="I123" s="5"/>
      <c r="J123" s="8"/>
      <c r="K123" s="15"/>
    </row>
    <row r="124" spans="1:11" ht="15.75" customHeight="1">
      <c r="A124" s="4" t="str">
        <f t="shared" si="0"/>
        <v>May</v>
      </c>
      <c r="B124" s="4">
        <v>123</v>
      </c>
      <c r="C124" s="3">
        <v>21673</v>
      </c>
      <c r="D124" s="4">
        <v>38</v>
      </c>
      <c r="E124" s="15"/>
      <c r="F124" s="8"/>
      <c r="G124" s="8"/>
      <c r="H124" s="8"/>
      <c r="I124" s="5"/>
      <c r="J124" s="8"/>
      <c r="K124" s="15"/>
    </row>
    <row r="125" spans="1:11" ht="15.75" customHeight="1">
      <c r="A125" s="4" t="str">
        <f t="shared" si="0"/>
        <v>May</v>
      </c>
      <c r="B125" s="4">
        <v>124</v>
      </c>
      <c r="C125" s="3">
        <v>21674</v>
      </c>
      <c r="D125" s="4">
        <v>33</v>
      </c>
      <c r="E125" s="15"/>
      <c r="F125" s="8"/>
      <c r="G125" s="8"/>
      <c r="H125" s="8"/>
      <c r="I125" s="5"/>
      <c r="J125" s="8"/>
      <c r="K125" s="15"/>
    </row>
    <row r="126" spans="1:11" ht="15.75" customHeight="1">
      <c r="A126" s="4" t="str">
        <f t="shared" si="0"/>
        <v>May</v>
      </c>
      <c r="B126" s="4">
        <v>125</v>
      </c>
      <c r="C126" s="3">
        <v>21675</v>
      </c>
      <c r="D126" s="4">
        <v>39</v>
      </c>
      <c r="E126" s="15"/>
      <c r="F126" s="8"/>
      <c r="G126" s="8"/>
      <c r="H126" s="8"/>
      <c r="I126" s="5"/>
      <c r="J126" s="8"/>
      <c r="K126" s="15"/>
    </row>
    <row r="127" spans="1:11" ht="15.75" customHeight="1">
      <c r="A127" s="4" t="str">
        <f t="shared" si="0"/>
        <v>May</v>
      </c>
      <c r="B127" s="4">
        <v>126</v>
      </c>
      <c r="C127" s="3">
        <v>21676</v>
      </c>
      <c r="D127" s="4">
        <v>47</v>
      </c>
      <c r="E127" s="15"/>
      <c r="F127" s="8"/>
      <c r="G127" s="8"/>
      <c r="H127" s="8"/>
      <c r="I127" s="5"/>
      <c r="J127" s="8"/>
      <c r="K127" s="15"/>
    </row>
    <row r="128" spans="1:11" ht="15.75" customHeight="1">
      <c r="A128" s="4" t="str">
        <f t="shared" si="0"/>
        <v>May</v>
      </c>
      <c r="B128" s="4">
        <v>127</v>
      </c>
      <c r="C128" s="3">
        <v>21677</v>
      </c>
      <c r="D128" s="4">
        <v>38</v>
      </c>
      <c r="E128" s="15"/>
      <c r="F128" s="8"/>
      <c r="G128" s="8"/>
      <c r="H128" s="8"/>
      <c r="I128" s="5"/>
      <c r="J128" s="8"/>
      <c r="K128" s="15"/>
    </row>
    <row r="129" spans="1:11" ht="15.75" customHeight="1">
      <c r="A129" s="4" t="str">
        <f t="shared" si="0"/>
        <v>May</v>
      </c>
      <c r="B129" s="4">
        <v>128</v>
      </c>
      <c r="C129" s="3">
        <v>21678</v>
      </c>
      <c r="D129" s="4">
        <v>52</v>
      </c>
      <c r="E129" s="15"/>
      <c r="F129" s="8"/>
      <c r="G129" s="8"/>
      <c r="H129" s="8"/>
      <c r="I129" s="5"/>
      <c r="J129" s="8"/>
      <c r="K129" s="15"/>
    </row>
    <row r="130" spans="1:11" ht="15.75" customHeight="1">
      <c r="A130" s="4" t="str">
        <f t="shared" si="0"/>
        <v>May</v>
      </c>
      <c r="B130" s="4">
        <v>129</v>
      </c>
      <c r="C130" s="3">
        <v>21679</v>
      </c>
      <c r="D130" s="4">
        <v>30</v>
      </c>
      <c r="E130" s="15"/>
      <c r="F130" s="8"/>
      <c r="G130" s="8"/>
      <c r="H130" s="8"/>
      <c r="I130" s="5"/>
      <c r="J130" s="8"/>
      <c r="K130" s="15"/>
    </row>
    <row r="131" spans="1:11" ht="15.75" customHeight="1">
      <c r="A131" s="4" t="str">
        <f t="shared" si="0"/>
        <v>May</v>
      </c>
      <c r="B131" s="4">
        <v>130</v>
      </c>
      <c r="C131" s="3">
        <v>21680</v>
      </c>
      <c r="D131" s="4">
        <v>34</v>
      </c>
      <c r="E131" s="15"/>
      <c r="F131" s="8"/>
      <c r="G131" s="8"/>
      <c r="H131" s="8"/>
      <c r="I131" s="5"/>
      <c r="J131" s="8"/>
      <c r="K131" s="15"/>
    </row>
    <row r="132" spans="1:11" ht="15.75" customHeight="1">
      <c r="A132" s="4" t="str">
        <f t="shared" si="0"/>
        <v>May</v>
      </c>
      <c r="B132" s="4">
        <v>131</v>
      </c>
      <c r="C132" s="3">
        <v>21681</v>
      </c>
      <c r="D132" s="4">
        <v>40</v>
      </c>
      <c r="E132" s="15"/>
      <c r="F132" s="8"/>
      <c r="G132" s="8"/>
      <c r="H132" s="8"/>
      <c r="I132" s="5"/>
      <c r="J132" s="8"/>
      <c r="K132" s="15"/>
    </row>
    <row r="133" spans="1:11" ht="15.75" customHeight="1">
      <c r="A133" s="4" t="str">
        <f t="shared" si="0"/>
        <v>May</v>
      </c>
      <c r="B133" s="4">
        <v>132</v>
      </c>
      <c r="C133" s="3">
        <v>21682</v>
      </c>
      <c r="D133" s="4">
        <v>35</v>
      </c>
      <c r="E133" s="15"/>
      <c r="F133" s="8"/>
      <c r="G133" s="8"/>
      <c r="H133" s="8"/>
      <c r="I133" s="5"/>
      <c r="J133" s="8"/>
      <c r="K133" s="15"/>
    </row>
    <row r="134" spans="1:11" ht="15.75" customHeight="1">
      <c r="A134" s="4" t="str">
        <f t="shared" si="0"/>
        <v>May</v>
      </c>
      <c r="B134" s="4">
        <v>133</v>
      </c>
      <c r="C134" s="3">
        <v>21683</v>
      </c>
      <c r="D134" s="4">
        <v>42</v>
      </c>
      <c r="E134" s="15"/>
      <c r="F134" s="8"/>
      <c r="G134" s="8"/>
      <c r="H134" s="8"/>
      <c r="I134" s="5"/>
      <c r="J134" s="8"/>
      <c r="K134" s="15"/>
    </row>
    <row r="135" spans="1:11" ht="15.75" customHeight="1">
      <c r="A135" s="4" t="str">
        <f t="shared" si="0"/>
        <v>May</v>
      </c>
      <c r="B135" s="4">
        <v>134</v>
      </c>
      <c r="C135" s="3">
        <v>21684</v>
      </c>
      <c r="D135" s="4">
        <v>41</v>
      </c>
      <c r="E135" s="15"/>
      <c r="F135" s="8"/>
      <c r="G135" s="8"/>
      <c r="H135" s="8"/>
      <c r="I135" s="5"/>
      <c r="J135" s="8"/>
      <c r="K135" s="15"/>
    </row>
    <row r="136" spans="1:11" ht="15.75" customHeight="1">
      <c r="A136" s="4" t="str">
        <f t="shared" si="0"/>
        <v>May</v>
      </c>
      <c r="B136" s="4">
        <v>135</v>
      </c>
      <c r="C136" s="3">
        <v>21685</v>
      </c>
      <c r="D136" s="4">
        <v>42</v>
      </c>
      <c r="E136" s="15"/>
      <c r="F136" s="8"/>
      <c r="G136" s="8"/>
      <c r="H136" s="8"/>
      <c r="I136" s="5"/>
      <c r="J136" s="8"/>
      <c r="K136" s="15"/>
    </row>
    <row r="137" spans="1:11" ht="15.75" customHeight="1">
      <c r="A137" s="4" t="str">
        <f t="shared" si="0"/>
        <v>May</v>
      </c>
      <c r="B137" s="4">
        <v>136</v>
      </c>
      <c r="C137" s="3">
        <v>21686</v>
      </c>
      <c r="D137" s="4">
        <v>38</v>
      </c>
      <c r="E137" s="15"/>
      <c r="F137" s="8"/>
      <c r="G137" s="8"/>
      <c r="H137" s="8"/>
      <c r="I137" s="5"/>
      <c r="J137" s="8"/>
      <c r="K137" s="15"/>
    </row>
    <row r="138" spans="1:11" ht="15.75" customHeight="1">
      <c r="A138" s="4" t="str">
        <f t="shared" si="0"/>
        <v>May</v>
      </c>
      <c r="B138" s="4">
        <v>137</v>
      </c>
      <c r="C138" s="3">
        <v>21687</v>
      </c>
      <c r="D138" s="4">
        <v>24</v>
      </c>
      <c r="E138" s="15"/>
      <c r="F138" s="8"/>
      <c r="G138" s="8"/>
      <c r="H138" s="8"/>
      <c r="I138" s="5"/>
      <c r="J138" s="8"/>
      <c r="K138" s="15"/>
    </row>
    <row r="139" spans="1:11" ht="15.75" customHeight="1">
      <c r="A139" s="4" t="str">
        <f t="shared" si="0"/>
        <v>May</v>
      </c>
      <c r="B139" s="4">
        <v>138</v>
      </c>
      <c r="C139" s="3">
        <v>21688</v>
      </c>
      <c r="D139" s="4">
        <v>34</v>
      </c>
      <c r="E139" s="15"/>
      <c r="F139" s="8"/>
      <c r="G139" s="8"/>
      <c r="H139" s="8"/>
      <c r="I139" s="5"/>
      <c r="J139" s="8"/>
      <c r="K139" s="15"/>
    </row>
    <row r="140" spans="1:11" ht="15.75" customHeight="1">
      <c r="A140" s="4" t="str">
        <f t="shared" si="0"/>
        <v>May</v>
      </c>
      <c r="B140" s="4">
        <v>139</v>
      </c>
      <c r="C140" s="3">
        <v>21689</v>
      </c>
      <c r="D140" s="4">
        <v>43</v>
      </c>
      <c r="E140" s="15"/>
      <c r="F140" s="8"/>
      <c r="G140" s="8"/>
      <c r="H140" s="8"/>
      <c r="I140" s="5"/>
      <c r="J140" s="8"/>
      <c r="K140" s="15"/>
    </row>
    <row r="141" spans="1:11" ht="15.75" customHeight="1">
      <c r="A141" s="4" t="str">
        <f t="shared" si="0"/>
        <v>May</v>
      </c>
      <c r="B141" s="4">
        <v>140</v>
      </c>
      <c r="C141" s="3">
        <v>21690</v>
      </c>
      <c r="D141" s="4">
        <v>36</v>
      </c>
      <c r="E141" s="15"/>
      <c r="F141" s="8"/>
      <c r="G141" s="8"/>
      <c r="H141" s="8"/>
      <c r="I141" s="5"/>
      <c r="J141" s="8"/>
      <c r="K141" s="15"/>
    </row>
    <row r="142" spans="1:11" ht="15.75" customHeight="1">
      <c r="A142" s="4" t="str">
        <f t="shared" si="0"/>
        <v>May</v>
      </c>
      <c r="B142" s="4">
        <v>141</v>
      </c>
      <c r="C142" s="3">
        <v>21691</v>
      </c>
      <c r="D142" s="4">
        <v>55</v>
      </c>
      <c r="E142" s="15"/>
      <c r="F142" s="8"/>
      <c r="G142" s="8"/>
      <c r="H142" s="8"/>
      <c r="I142" s="5"/>
      <c r="J142" s="8"/>
      <c r="K142" s="15"/>
    </row>
    <row r="143" spans="1:11" ht="15.75" customHeight="1">
      <c r="A143" s="4" t="str">
        <f t="shared" si="0"/>
        <v>May</v>
      </c>
      <c r="B143" s="4">
        <v>142</v>
      </c>
      <c r="C143" s="3">
        <v>21692</v>
      </c>
      <c r="D143" s="4">
        <v>41</v>
      </c>
      <c r="E143" s="15"/>
      <c r="F143" s="8"/>
      <c r="G143" s="8"/>
      <c r="H143" s="8"/>
      <c r="I143" s="5"/>
      <c r="J143" s="8"/>
      <c r="K143" s="15"/>
    </row>
    <row r="144" spans="1:11" ht="15.75" customHeight="1">
      <c r="A144" s="4" t="str">
        <f t="shared" si="0"/>
        <v>May</v>
      </c>
      <c r="B144" s="4">
        <v>143</v>
      </c>
      <c r="C144" s="3">
        <v>21693</v>
      </c>
      <c r="D144" s="4">
        <v>45</v>
      </c>
      <c r="E144" s="15"/>
      <c r="F144" s="8"/>
      <c r="G144" s="8"/>
      <c r="H144" s="8"/>
      <c r="I144" s="5"/>
      <c r="J144" s="8"/>
      <c r="K144" s="15"/>
    </row>
    <row r="145" spans="1:11" ht="15.75" customHeight="1">
      <c r="A145" s="4" t="str">
        <f t="shared" si="0"/>
        <v>May</v>
      </c>
      <c r="B145" s="4">
        <v>144</v>
      </c>
      <c r="C145" s="3">
        <v>21694</v>
      </c>
      <c r="D145" s="4">
        <v>41</v>
      </c>
      <c r="E145" s="15"/>
      <c r="F145" s="8"/>
      <c r="G145" s="8"/>
      <c r="H145" s="8"/>
      <c r="I145" s="5"/>
      <c r="J145" s="8"/>
      <c r="K145" s="15"/>
    </row>
    <row r="146" spans="1:11" ht="15.75" customHeight="1">
      <c r="A146" s="4" t="str">
        <f t="shared" si="0"/>
        <v>May</v>
      </c>
      <c r="B146" s="4">
        <v>145</v>
      </c>
      <c r="C146" s="3">
        <v>21695</v>
      </c>
      <c r="D146" s="4">
        <v>37</v>
      </c>
      <c r="E146" s="15"/>
      <c r="F146" s="8"/>
      <c r="G146" s="8"/>
      <c r="H146" s="8"/>
      <c r="I146" s="5"/>
      <c r="J146" s="8"/>
      <c r="K146" s="15"/>
    </row>
    <row r="147" spans="1:11" ht="15.75" customHeight="1">
      <c r="A147" s="4" t="str">
        <f t="shared" si="0"/>
        <v>May</v>
      </c>
      <c r="B147" s="4">
        <v>146</v>
      </c>
      <c r="C147" s="3">
        <v>21696</v>
      </c>
      <c r="D147" s="4">
        <v>43</v>
      </c>
      <c r="E147" s="15"/>
      <c r="F147" s="8"/>
      <c r="G147" s="8"/>
      <c r="H147" s="8"/>
      <c r="I147" s="5"/>
      <c r="J147" s="8"/>
      <c r="K147" s="15"/>
    </row>
    <row r="148" spans="1:11" ht="15.75" customHeight="1">
      <c r="A148" s="4" t="str">
        <f t="shared" si="0"/>
        <v>May</v>
      </c>
      <c r="B148" s="4">
        <v>147</v>
      </c>
      <c r="C148" s="3">
        <v>21697</v>
      </c>
      <c r="D148" s="4">
        <v>39</v>
      </c>
      <c r="E148" s="15"/>
      <c r="F148" s="8"/>
      <c r="G148" s="8"/>
      <c r="H148" s="8"/>
      <c r="I148" s="5"/>
      <c r="J148" s="8"/>
      <c r="K148" s="15"/>
    </row>
    <row r="149" spans="1:11" ht="15.75" customHeight="1">
      <c r="A149" s="4" t="str">
        <f t="shared" si="0"/>
        <v>May</v>
      </c>
      <c r="B149" s="4">
        <v>148</v>
      </c>
      <c r="C149" s="3">
        <v>21698</v>
      </c>
      <c r="D149" s="4">
        <v>33</v>
      </c>
      <c r="E149" s="15"/>
      <c r="F149" s="8"/>
      <c r="G149" s="8"/>
      <c r="H149" s="8"/>
      <c r="I149" s="5"/>
      <c r="J149" s="8"/>
      <c r="K149" s="15"/>
    </row>
    <row r="150" spans="1:11" ht="15.75" customHeight="1">
      <c r="A150" s="4" t="str">
        <f t="shared" si="0"/>
        <v>May</v>
      </c>
      <c r="B150" s="4">
        <v>149</v>
      </c>
      <c r="C150" s="3">
        <v>21699</v>
      </c>
      <c r="D150" s="4">
        <v>43</v>
      </c>
      <c r="E150" s="15"/>
      <c r="F150" s="8"/>
      <c r="G150" s="8"/>
      <c r="H150" s="8"/>
      <c r="I150" s="5"/>
      <c r="J150" s="8"/>
      <c r="K150" s="15"/>
    </row>
    <row r="151" spans="1:11" ht="15.75" customHeight="1">
      <c r="A151" s="4" t="str">
        <f t="shared" si="0"/>
        <v>May</v>
      </c>
      <c r="B151" s="4">
        <v>150</v>
      </c>
      <c r="C151" s="3">
        <v>21700</v>
      </c>
      <c r="D151" s="4">
        <v>40</v>
      </c>
      <c r="E151" s="15"/>
      <c r="F151" s="8"/>
      <c r="G151" s="8"/>
      <c r="H151" s="8"/>
      <c r="I151" s="5"/>
      <c r="J151" s="8"/>
      <c r="K151" s="15"/>
    </row>
    <row r="152" spans="1:11" ht="15.75" customHeight="1">
      <c r="A152" s="4" t="str">
        <f t="shared" si="0"/>
        <v>May</v>
      </c>
      <c r="B152" s="4">
        <v>151</v>
      </c>
      <c r="C152" s="3">
        <v>21701</v>
      </c>
      <c r="D152" s="4">
        <v>38</v>
      </c>
      <c r="E152" s="15"/>
      <c r="F152" s="8"/>
      <c r="G152" s="8"/>
      <c r="H152" s="8"/>
      <c r="I152" s="5"/>
      <c r="J152" s="8"/>
      <c r="K152" s="15"/>
    </row>
    <row r="153" spans="1:11" ht="15.75" customHeight="1">
      <c r="A153" s="4" t="str">
        <f t="shared" si="0"/>
        <v>Jun</v>
      </c>
      <c r="B153" s="4">
        <v>152</v>
      </c>
      <c r="C153" s="3">
        <v>21702</v>
      </c>
      <c r="D153" s="4">
        <v>45</v>
      </c>
      <c r="E153" s="15"/>
      <c r="F153" s="8"/>
      <c r="G153" s="8"/>
      <c r="H153" s="8"/>
      <c r="I153" s="5"/>
      <c r="J153" s="8"/>
      <c r="K153" s="15"/>
    </row>
    <row r="154" spans="1:11" ht="15.75" customHeight="1">
      <c r="A154" s="4" t="str">
        <f t="shared" si="0"/>
        <v>Jun</v>
      </c>
      <c r="B154" s="4">
        <v>153</v>
      </c>
      <c r="C154" s="3">
        <v>21703</v>
      </c>
      <c r="D154" s="4">
        <v>46</v>
      </c>
      <c r="E154" s="15"/>
      <c r="F154" s="8"/>
      <c r="G154" s="8"/>
      <c r="H154" s="8"/>
      <c r="I154" s="5"/>
      <c r="J154" s="8"/>
      <c r="K154" s="15"/>
    </row>
    <row r="155" spans="1:11" ht="15.75" customHeight="1">
      <c r="A155" s="4" t="str">
        <f t="shared" si="0"/>
        <v>Jun</v>
      </c>
      <c r="B155" s="4">
        <v>154</v>
      </c>
      <c r="C155" s="3">
        <v>21704</v>
      </c>
      <c r="D155" s="4">
        <v>34</v>
      </c>
      <c r="E155" s="15"/>
      <c r="F155" s="8"/>
      <c r="G155" s="8"/>
      <c r="H155" s="8"/>
      <c r="I155" s="5"/>
      <c r="J155" s="8"/>
      <c r="K155" s="15"/>
    </row>
    <row r="156" spans="1:11" ht="15.75" customHeight="1">
      <c r="A156" s="4" t="str">
        <f t="shared" si="0"/>
        <v>Jun</v>
      </c>
      <c r="B156" s="4">
        <v>155</v>
      </c>
      <c r="C156" s="3">
        <v>21705</v>
      </c>
      <c r="D156" s="4">
        <v>35</v>
      </c>
      <c r="E156" s="15"/>
      <c r="F156" s="8"/>
      <c r="G156" s="8"/>
      <c r="H156" s="8"/>
      <c r="I156" s="5"/>
      <c r="J156" s="8"/>
      <c r="K156" s="15"/>
    </row>
    <row r="157" spans="1:11" ht="15.75" customHeight="1">
      <c r="A157" s="4" t="str">
        <f t="shared" si="0"/>
        <v>Jun</v>
      </c>
      <c r="B157" s="4">
        <v>156</v>
      </c>
      <c r="C157" s="3">
        <v>21706</v>
      </c>
      <c r="D157" s="4">
        <v>48</v>
      </c>
      <c r="E157" s="15"/>
      <c r="F157" s="8"/>
      <c r="G157" s="8"/>
      <c r="H157" s="8"/>
      <c r="I157" s="5"/>
      <c r="J157" s="8"/>
      <c r="K157" s="15"/>
    </row>
    <row r="158" spans="1:11" ht="15.75" customHeight="1">
      <c r="A158" s="4" t="str">
        <f t="shared" si="0"/>
        <v>Jun</v>
      </c>
      <c r="B158" s="4">
        <v>157</v>
      </c>
      <c r="C158" s="3">
        <v>21707</v>
      </c>
      <c r="D158" s="4">
        <v>51</v>
      </c>
      <c r="E158" s="15"/>
      <c r="F158" s="8"/>
      <c r="G158" s="8"/>
      <c r="H158" s="8"/>
      <c r="I158" s="5"/>
      <c r="J158" s="8"/>
      <c r="K158" s="15"/>
    </row>
    <row r="159" spans="1:11" ht="15.75" customHeight="1">
      <c r="A159" s="4" t="str">
        <f t="shared" si="0"/>
        <v>Jun</v>
      </c>
      <c r="B159" s="4">
        <v>158</v>
      </c>
      <c r="C159" s="3">
        <v>21708</v>
      </c>
      <c r="D159" s="4">
        <v>36</v>
      </c>
      <c r="E159" s="15"/>
      <c r="F159" s="8"/>
      <c r="G159" s="8"/>
      <c r="H159" s="8"/>
      <c r="I159" s="5"/>
      <c r="J159" s="8"/>
      <c r="K159" s="15"/>
    </row>
    <row r="160" spans="1:11" ht="15.75" customHeight="1">
      <c r="A160" s="4" t="str">
        <f t="shared" si="0"/>
        <v>Jun</v>
      </c>
      <c r="B160" s="4">
        <v>159</v>
      </c>
      <c r="C160" s="3">
        <v>21709</v>
      </c>
      <c r="D160" s="4">
        <v>33</v>
      </c>
      <c r="E160" s="15"/>
      <c r="F160" s="8"/>
      <c r="G160" s="8"/>
      <c r="H160" s="8"/>
      <c r="I160" s="5"/>
      <c r="J160" s="8"/>
      <c r="K160" s="15"/>
    </row>
    <row r="161" spans="1:11" ht="15.75" customHeight="1">
      <c r="A161" s="4" t="str">
        <f t="shared" si="0"/>
        <v>Jun</v>
      </c>
      <c r="B161" s="4">
        <v>160</v>
      </c>
      <c r="C161" s="3">
        <v>21710</v>
      </c>
      <c r="D161" s="4">
        <v>46</v>
      </c>
      <c r="E161" s="15"/>
      <c r="F161" s="8"/>
      <c r="G161" s="8"/>
      <c r="H161" s="8"/>
      <c r="I161" s="5"/>
      <c r="J161" s="8"/>
      <c r="K161" s="15"/>
    </row>
    <row r="162" spans="1:11" ht="15.75" customHeight="1">
      <c r="A162" s="4" t="str">
        <f t="shared" si="0"/>
        <v>Jun</v>
      </c>
      <c r="B162" s="4">
        <v>161</v>
      </c>
      <c r="C162" s="3">
        <v>21711</v>
      </c>
      <c r="D162" s="4">
        <v>42</v>
      </c>
      <c r="E162" s="15"/>
      <c r="F162" s="8"/>
      <c r="G162" s="8"/>
      <c r="H162" s="8"/>
      <c r="I162" s="5"/>
      <c r="J162" s="8"/>
      <c r="K162" s="15"/>
    </row>
    <row r="163" spans="1:11" ht="15.75" customHeight="1">
      <c r="A163" s="4" t="str">
        <f t="shared" si="0"/>
        <v>Jun</v>
      </c>
      <c r="B163" s="4">
        <v>162</v>
      </c>
      <c r="C163" s="3">
        <v>21712</v>
      </c>
      <c r="D163" s="4">
        <v>48</v>
      </c>
      <c r="E163" s="15"/>
      <c r="F163" s="8"/>
      <c r="G163" s="8"/>
      <c r="H163" s="8"/>
      <c r="I163" s="5"/>
      <c r="J163" s="8"/>
      <c r="K163" s="15"/>
    </row>
    <row r="164" spans="1:11" ht="15.75" customHeight="1">
      <c r="A164" s="4" t="str">
        <f t="shared" si="0"/>
        <v>Jun</v>
      </c>
      <c r="B164" s="4">
        <v>163</v>
      </c>
      <c r="C164" s="3">
        <v>21713</v>
      </c>
      <c r="D164" s="4">
        <v>34</v>
      </c>
      <c r="E164" s="15"/>
      <c r="F164" s="8"/>
      <c r="G164" s="8"/>
      <c r="H164" s="8"/>
      <c r="I164" s="5"/>
      <c r="J164" s="8"/>
      <c r="K164" s="15"/>
    </row>
    <row r="165" spans="1:11" ht="15.75" customHeight="1">
      <c r="A165" s="4" t="str">
        <f t="shared" si="0"/>
        <v>Jun</v>
      </c>
      <c r="B165" s="4">
        <v>164</v>
      </c>
      <c r="C165" s="3">
        <v>21714</v>
      </c>
      <c r="D165" s="4">
        <v>41</v>
      </c>
      <c r="E165" s="15"/>
      <c r="F165" s="8"/>
      <c r="G165" s="8"/>
      <c r="H165" s="8"/>
      <c r="I165" s="5"/>
      <c r="J165" s="8"/>
      <c r="K165" s="15"/>
    </row>
    <row r="166" spans="1:11" ht="15.75" customHeight="1">
      <c r="A166" s="4" t="str">
        <f t="shared" si="0"/>
        <v>Jun</v>
      </c>
      <c r="B166" s="4">
        <v>165</v>
      </c>
      <c r="C166" s="3">
        <v>21715</v>
      </c>
      <c r="D166" s="4">
        <v>35</v>
      </c>
      <c r="E166" s="15"/>
      <c r="F166" s="8"/>
      <c r="G166" s="8"/>
      <c r="H166" s="8"/>
      <c r="I166" s="5"/>
      <c r="J166" s="8"/>
      <c r="K166" s="15"/>
    </row>
    <row r="167" spans="1:11" ht="15.75" customHeight="1">
      <c r="A167" s="4" t="str">
        <f t="shared" si="0"/>
        <v>Jun</v>
      </c>
      <c r="B167" s="4">
        <v>166</v>
      </c>
      <c r="C167" s="3">
        <v>21716</v>
      </c>
      <c r="D167" s="4">
        <v>40</v>
      </c>
      <c r="E167" s="15"/>
      <c r="F167" s="8"/>
      <c r="G167" s="8"/>
      <c r="H167" s="8"/>
      <c r="I167" s="5"/>
      <c r="J167" s="8"/>
      <c r="K167" s="15"/>
    </row>
    <row r="168" spans="1:11" ht="15.75" customHeight="1">
      <c r="A168" s="4" t="str">
        <f t="shared" si="0"/>
        <v>Jun</v>
      </c>
      <c r="B168" s="4">
        <v>167</v>
      </c>
      <c r="C168" s="3">
        <v>21717</v>
      </c>
      <c r="D168" s="4">
        <v>34</v>
      </c>
      <c r="E168" s="15"/>
      <c r="F168" s="8"/>
      <c r="G168" s="8"/>
      <c r="H168" s="8"/>
      <c r="I168" s="5"/>
      <c r="J168" s="8"/>
      <c r="K168" s="15"/>
    </row>
    <row r="169" spans="1:11" ht="15.75" customHeight="1">
      <c r="A169" s="4" t="str">
        <f t="shared" si="0"/>
        <v>Jun</v>
      </c>
      <c r="B169" s="4">
        <v>168</v>
      </c>
      <c r="C169" s="3">
        <v>21718</v>
      </c>
      <c r="D169" s="4">
        <v>30</v>
      </c>
      <c r="E169" s="15"/>
      <c r="F169" s="8"/>
      <c r="G169" s="8"/>
      <c r="H169" s="8"/>
      <c r="I169" s="5"/>
      <c r="J169" s="8"/>
      <c r="K169" s="15"/>
    </row>
    <row r="170" spans="1:11" ht="15.75" customHeight="1">
      <c r="A170" s="4" t="str">
        <f t="shared" si="0"/>
        <v>Jun</v>
      </c>
      <c r="B170" s="4">
        <v>169</v>
      </c>
      <c r="C170" s="3">
        <v>21719</v>
      </c>
      <c r="D170" s="4">
        <v>36</v>
      </c>
      <c r="E170" s="15"/>
      <c r="F170" s="8"/>
      <c r="G170" s="8"/>
      <c r="H170" s="8"/>
      <c r="I170" s="5"/>
      <c r="J170" s="8"/>
      <c r="K170" s="15"/>
    </row>
    <row r="171" spans="1:11" ht="15.75" customHeight="1">
      <c r="A171" s="4" t="str">
        <f t="shared" si="0"/>
        <v>Jun</v>
      </c>
      <c r="B171" s="4">
        <v>170</v>
      </c>
      <c r="C171" s="3">
        <v>21720</v>
      </c>
      <c r="D171" s="4">
        <v>40</v>
      </c>
      <c r="E171" s="15"/>
      <c r="F171" s="8"/>
      <c r="G171" s="8"/>
      <c r="H171" s="8"/>
      <c r="I171" s="5"/>
      <c r="J171" s="8"/>
      <c r="K171" s="15"/>
    </row>
    <row r="172" spans="1:11" ht="15.75" customHeight="1">
      <c r="A172" s="4" t="str">
        <f t="shared" si="0"/>
        <v>Jun</v>
      </c>
      <c r="B172" s="4">
        <v>171</v>
      </c>
      <c r="C172" s="3">
        <v>21721</v>
      </c>
      <c r="D172" s="4">
        <v>39</v>
      </c>
      <c r="E172" s="15"/>
      <c r="F172" s="8"/>
      <c r="G172" s="8"/>
      <c r="H172" s="8"/>
      <c r="I172" s="5"/>
      <c r="J172" s="8"/>
      <c r="K172" s="15"/>
    </row>
    <row r="173" spans="1:11" ht="15.75" customHeight="1">
      <c r="A173" s="4" t="str">
        <f t="shared" si="0"/>
        <v>Jun</v>
      </c>
      <c r="B173" s="4">
        <v>172</v>
      </c>
      <c r="C173" s="3">
        <v>21722</v>
      </c>
      <c r="D173" s="4">
        <v>45</v>
      </c>
      <c r="E173" s="15"/>
      <c r="F173" s="8"/>
      <c r="G173" s="8"/>
      <c r="H173" s="8"/>
      <c r="I173" s="5"/>
      <c r="J173" s="8"/>
      <c r="K173" s="15"/>
    </row>
    <row r="174" spans="1:11" ht="15.75" customHeight="1">
      <c r="A174" s="4" t="str">
        <f t="shared" si="0"/>
        <v>Jun</v>
      </c>
      <c r="B174" s="4">
        <v>173</v>
      </c>
      <c r="C174" s="3">
        <v>21723</v>
      </c>
      <c r="D174" s="4">
        <v>38</v>
      </c>
      <c r="E174" s="15"/>
      <c r="F174" s="8"/>
      <c r="G174" s="8"/>
      <c r="H174" s="8"/>
      <c r="I174" s="5"/>
      <c r="J174" s="8"/>
      <c r="K174" s="15"/>
    </row>
    <row r="175" spans="1:11" ht="15.75" customHeight="1">
      <c r="A175" s="4" t="str">
        <f t="shared" si="0"/>
        <v>Jun</v>
      </c>
      <c r="B175" s="4">
        <v>174</v>
      </c>
      <c r="C175" s="3">
        <v>21724</v>
      </c>
      <c r="D175" s="4">
        <v>47</v>
      </c>
      <c r="E175" s="15"/>
      <c r="F175" s="8"/>
      <c r="G175" s="8"/>
      <c r="H175" s="8"/>
      <c r="I175" s="5"/>
      <c r="J175" s="8"/>
      <c r="K175" s="15"/>
    </row>
    <row r="176" spans="1:11" ht="15.75" customHeight="1">
      <c r="A176" s="4" t="str">
        <f t="shared" si="0"/>
        <v>Jun</v>
      </c>
      <c r="B176" s="4">
        <v>175</v>
      </c>
      <c r="C176" s="3">
        <v>21725</v>
      </c>
      <c r="D176" s="4">
        <v>33</v>
      </c>
      <c r="E176" s="15"/>
      <c r="F176" s="8"/>
      <c r="G176" s="8"/>
      <c r="H176" s="8"/>
      <c r="I176" s="5"/>
      <c r="J176" s="8"/>
      <c r="K176" s="15"/>
    </row>
    <row r="177" spans="1:11" ht="15.75" customHeight="1">
      <c r="A177" s="4" t="str">
        <f t="shared" si="0"/>
        <v>Jun</v>
      </c>
      <c r="B177" s="4">
        <v>176</v>
      </c>
      <c r="C177" s="3">
        <v>21726</v>
      </c>
      <c r="D177" s="4">
        <v>30</v>
      </c>
      <c r="E177" s="15"/>
      <c r="F177" s="8"/>
      <c r="G177" s="8"/>
      <c r="H177" s="8"/>
      <c r="I177" s="5"/>
      <c r="J177" s="8"/>
      <c r="K177" s="15"/>
    </row>
    <row r="178" spans="1:11" ht="15.75" customHeight="1">
      <c r="A178" s="4" t="str">
        <f t="shared" si="0"/>
        <v>Jun</v>
      </c>
      <c r="B178" s="4">
        <v>177</v>
      </c>
      <c r="C178" s="3">
        <v>21727</v>
      </c>
      <c r="D178" s="4">
        <v>42</v>
      </c>
      <c r="E178" s="15"/>
      <c r="F178" s="8"/>
      <c r="G178" s="8"/>
      <c r="H178" s="8"/>
      <c r="I178" s="5"/>
      <c r="J178" s="8"/>
      <c r="K178" s="15"/>
    </row>
    <row r="179" spans="1:11" ht="15.75" customHeight="1">
      <c r="A179" s="4" t="str">
        <f t="shared" si="0"/>
        <v>Jun</v>
      </c>
      <c r="B179" s="4">
        <v>178</v>
      </c>
      <c r="C179" s="3">
        <v>21728</v>
      </c>
      <c r="D179" s="4">
        <v>43</v>
      </c>
      <c r="E179" s="15"/>
      <c r="F179" s="8"/>
      <c r="G179" s="8"/>
      <c r="H179" s="8"/>
      <c r="I179" s="5"/>
      <c r="J179" s="8"/>
      <c r="K179" s="15"/>
    </row>
    <row r="180" spans="1:11" ht="15.75" customHeight="1">
      <c r="A180" s="4" t="str">
        <f t="shared" si="0"/>
        <v>Jun</v>
      </c>
      <c r="B180" s="4">
        <v>179</v>
      </c>
      <c r="C180" s="3">
        <v>21729</v>
      </c>
      <c r="D180" s="4">
        <v>41</v>
      </c>
      <c r="E180" s="15"/>
      <c r="F180" s="8"/>
      <c r="G180" s="8"/>
      <c r="H180" s="8"/>
      <c r="I180" s="5"/>
      <c r="J180" s="8"/>
      <c r="K180" s="15"/>
    </row>
    <row r="181" spans="1:11" ht="15.75" customHeight="1">
      <c r="A181" s="4" t="str">
        <f t="shared" si="0"/>
        <v>Jun</v>
      </c>
      <c r="B181" s="4">
        <v>180</v>
      </c>
      <c r="C181" s="3">
        <v>21730</v>
      </c>
      <c r="D181" s="4">
        <v>41</v>
      </c>
      <c r="E181" s="15"/>
      <c r="F181" s="8"/>
      <c r="G181" s="8"/>
      <c r="H181" s="8"/>
      <c r="I181" s="5"/>
      <c r="J181" s="8"/>
      <c r="K181" s="15"/>
    </row>
    <row r="182" spans="1:11" ht="15.75" customHeight="1">
      <c r="A182" s="4" t="str">
        <f t="shared" si="0"/>
        <v>Jun</v>
      </c>
      <c r="B182" s="4">
        <v>181</v>
      </c>
      <c r="C182" s="3">
        <v>21731</v>
      </c>
      <c r="D182" s="4">
        <v>59</v>
      </c>
      <c r="E182" s="15"/>
      <c r="F182" s="8"/>
      <c r="G182" s="8"/>
      <c r="H182" s="8"/>
      <c r="I182" s="5"/>
      <c r="J182" s="8"/>
      <c r="K182" s="15"/>
    </row>
    <row r="183" spans="1:11" ht="15.75" customHeight="1">
      <c r="A183" s="4" t="str">
        <f t="shared" si="0"/>
        <v>Jul</v>
      </c>
      <c r="B183" s="4">
        <v>182</v>
      </c>
      <c r="C183" s="3">
        <v>21732</v>
      </c>
      <c r="D183" s="4">
        <v>43</v>
      </c>
      <c r="E183" s="15"/>
      <c r="F183" s="8"/>
      <c r="G183" s="8"/>
      <c r="H183" s="8"/>
      <c r="I183" s="5"/>
      <c r="J183" s="8"/>
      <c r="K183" s="15"/>
    </row>
    <row r="184" spans="1:11" ht="15.75" customHeight="1">
      <c r="A184" s="4" t="str">
        <f t="shared" si="0"/>
        <v>Jul</v>
      </c>
      <c r="B184" s="4">
        <v>183</v>
      </c>
      <c r="C184" s="3">
        <v>21733</v>
      </c>
      <c r="D184" s="4">
        <v>45</v>
      </c>
      <c r="E184" s="15"/>
      <c r="F184" s="8"/>
      <c r="G184" s="8"/>
      <c r="H184" s="8"/>
      <c r="I184" s="5"/>
      <c r="J184" s="8"/>
      <c r="K184" s="15"/>
    </row>
    <row r="185" spans="1:11" ht="15.75" customHeight="1">
      <c r="A185" s="4" t="str">
        <f t="shared" si="0"/>
        <v>Jul</v>
      </c>
      <c r="B185" s="4">
        <v>184</v>
      </c>
      <c r="C185" s="3">
        <v>21734</v>
      </c>
      <c r="D185" s="4">
        <v>38</v>
      </c>
      <c r="E185" s="15"/>
      <c r="F185" s="8"/>
      <c r="G185" s="8"/>
      <c r="H185" s="8"/>
      <c r="I185" s="5"/>
      <c r="J185" s="8"/>
      <c r="K185" s="15"/>
    </row>
    <row r="186" spans="1:11" ht="15.75" customHeight="1">
      <c r="A186" s="4" t="str">
        <f t="shared" si="0"/>
        <v>Jul</v>
      </c>
      <c r="B186" s="4">
        <v>185</v>
      </c>
      <c r="C186" s="3">
        <v>21735</v>
      </c>
      <c r="D186" s="4">
        <v>37</v>
      </c>
      <c r="E186" s="15"/>
      <c r="F186" s="8"/>
      <c r="G186" s="8"/>
      <c r="H186" s="8"/>
      <c r="I186" s="5"/>
      <c r="J186" s="8"/>
      <c r="K186" s="15"/>
    </row>
    <row r="187" spans="1:11" ht="15.75" customHeight="1">
      <c r="A187" s="4" t="str">
        <f t="shared" si="0"/>
        <v>Jul</v>
      </c>
      <c r="B187" s="4">
        <v>186</v>
      </c>
      <c r="C187" s="3">
        <v>21736</v>
      </c>
      <c r="D187" s="4">
        <v>45</v>
      </c>
      <c r="E187" s="15"/>
      <c r="F187" s="8"/>
      <c r="G187" s="8"/>
      <c r="H187" s="8"/>
      <c r="I187" s="5"/>
      <c r="J187" s="8"/>
      <c r="K187" s="15"/>
    </row>
    <row r="188" spans="1:11" ht="15.75" customHeight="1">
      <c r="A188" s="4" t="str">
        <f t="shared" si="0"/>
        <v>Jul</v>
      </c>
      <c r="B188" s="4">
        <v>187</v>
      </c>
      <c r="C188" s="3">
        <v>21737</v>
      </c>
      <c r="D188" s="4">
        <v>42</v>
      </c>
      <c r="E188" s="15"/>
      <c r="F188" s="8"/>
      <c r="G188" s="8"/>
      <c r="H188" s="8"/>
      <c r="I188" s="5"/>
      <c r="J188" s="8"/>
      <c r="K188" s="15"/>
    </row>
    <row r="189" spans="1:11" ht="15.75" customHeight="1">
      <c r="A189" s="4" t="str">
        <f t="shared" si="0"/>
        <v>Jul</v>
      </c>
      <c r="B189" s="4">
        <v>188</v>
      </c>
      <c r="C189" s="3">
        <v>21738</v>
      </c>
      <c r="D189" s="4">
        <v>57</v>
      </c>
      <c r="E189" s="15"/>
      <c r="F189" s="8"/>
      <c r="G189" s="8"/>
      <c r="H189" s="8"/>
      <c r="I189" s="5"/>
      <c r="J189" s="8"/>
      <c r="K189" s="15"/>
    </row>
    <row r="190" spans="1:11" ht="15.75" customHeight="1">
      <c r="A190" s="4" t="str">
        <f t="shared" si="0"/>
        <v>Jul</v>
      </c>
      <c r="B190" s="4">
        <v>189</v>
      </c>
      <c r="C190" s="3">
        <v>21739</v>
      </c>
      <c r="D190" s="4">
        <v>46</v>
      </c>
      <c r="E190" s="15"/>
      <c r="F190" s="8"/>
      <c r="G190" s="8"/>
      <c r="H190" s="8"/>
      <c r="I190" s="5"/>
      <c r="J190" s="8"/>
      <c r="K190" s="15"/>
    </row>
    <row r="191" spans="1:11" ht="15.75" customHeight="1">
      <c r="A191" s="4" t="str">
        <f t="shared" si="0"/>
        <v>Jul</v>
      </c>
      <c r="B191" s="4">
        <v>190</v>
      </c>
      <c r="C191" s="3">
        <v>21740</v>
      </c>
      <c r="D191" s="4">
        <v>51</v>
      </c>
      <c r="E191" s="15"/>
      <c r="F191" s="8"/>
      <c r="G191" s="8"/>
      <c r="H191" s="8"/>
      <c r="I191" s="5"/>
      <c r="J191" s="8"/>
      <c r="K191" s="15"/>
    </row>
    <row r="192" spans="1:11" ht="15.75" customHeight="1">
      <c r="A192" s="4" t="str">
        <f t="shared" si="0"/>
        <v>Jul</v>
      </c>
      <c r="B192" s="4">
        <v>191</v>
      </c>
      <c r="C192" s="3">
        <v>21741</v>
      </c>
      <c r="D192" s="4">
        <v>41</v>
      </c>
      <c r="E192" s="15"/>
      <c r="F192" s="8"/>
      <c r="G192" s="8"/>
      <c r="H192" s="8"/>
      <c r="I192" s="5"/>
      <c r="J192" s="8"/>
      <c r="K192" s="15"/>
    </row>
    <row r="193" spans="1:11" ht="15.75" customHeight="1">
      <c r="A193" s="4" t="str">
        <f t="shared" si="0"/>
        <v>Jul</v>
      </c>
      <c r="B193" s="4">
        <v>192</v>
      </c>
      <c r="C193" s="3">
        <v>21742</v>
      </c>
      <c r="D193" s="4">
        <v>47</v>
      </c>
      <c r="E193" s="15"/>
      <c r="F193" s="8"/>
      <c r="G193" s="8"/>
      <c r="H193" s="8"/>
      <c r="I193" s="5"/>
      <c r="J193" s="8"/>
      <c r="K193" s="15"/>
    </row>
    <row r="194" spans="1:11" ht="15.75" customHeight="1">
      <c r="A194" s="4" t="str">
        <f t="shared" si="0"/>
        <v>Jul</v>
      </c>
      <c r="B194" s="4">
        <v>193</v>
      </c>
      <c r="C194" s="3">
        <v>21743</v>
      </c>
      <c r="D194" s="4">
        <v>26</v>
      </c>
      <c r="E194" s="15"/>
      <c r="F194" s="8"/>
      <c r="G194" s="8"/>
      <c r="H194" s="8"/>
      <c r="I194" s="5"/>
      <c r="J194" s="8"/>
      <c r="K194" s="15"/>
    </row>
    <row r="195" spans="1:11" ht="15.75" customHeight="1">
      <c r="A195" s="4" t="str">
        <f t="shared" si="0"/>
        <v>Jul</v>
      </c>
      <c r="B195" s="4">
        <v>194</v>
      </c>
      <c r="C195" s="3">
        <v>21744</v>
      </c>
      <c r="D195" s="4">
        <v>35</v>
      </c>
      <c r="E195" s="15"/>
      <c r="F195" s="8"/>
      <c r="G195" s="8"/>
      <c r="H195" s="8"/>
      <c r="I195" s="5"/>
      <c r="J195" s="8"/>
      <c r="K195" s="15"/>
    </row>
    <row r="196" spans="1:11" ht="15.75" customHeight="1">
      <c r="A196" s="4" t="str">
        <f t="shared" si="0"/>
        <v>Jul</v>
      </c>
      <c r="B196" s="4">
        <v>195</v>
      </c>
      <c r="C196" s="3">
        <v>21745</v>
      </c>
      <c r="D196" s="4">
        <v>44</v>
      </c>
      <c r="E196" s="15"/>
      <c r="F196" s="8"/>
      <c r="G196" s="8"/>
      <c r="H196" s="8"/>
      <c r="I196" s="5"/>
      <c r="J196" s="8"/>
      <c r="K196" s="15"/>
    </row>
    <row r="197" spans="1:11" ht="15.75" customHeight="1">
      <c r="A197" s="4" t="str">
        <f t="shared" si="0"/>
        <v>Jul</v>
      </c>
      <c r="B197" s="4">
        <v>196</v>
      </c>
      <c r="C197" s="3">
        <v>21746</v>
      </c>
      <c r="D197" s="4">
        <v>41</v>
      </c>
      <c r="E197" s="15"/>
      <c r="F197" s="8"/>
      <c r="G197" s="8"/>
      <c r="H197" s="8"/>
      <c r="I197" s="5"/>
      <c r="J197" s="8"/>
      <c r="K197" s="15"/>
    </row>
    <row r="198" spans="1:11" ht="15.75" customHeight="1">
      <c r="A198" s="4" t="str">
        <f t="shared" si="0"/>
        <v>Jul</v>
      </c>
      <c r="B198" s="4">
        <v>197</v>
      </c>
      <c r="C198" s="3">
        <v>21747</v>
      </c>
      <c r="D198" s="4">
        <v>42</v>
      </c>
      <c r="E198" s="15"/>
      <c r="F198" s="8"/>
      <c r="G198" s="8"/>
      <c r="H198" s="8"/>
      <c r="I198" s="5"/>
      <c r="J198" s="8"/>
      <c r="K198" s="15"/>
    </row>
    <row r="199" spans="1:11" ht="15.75" customHeight="1">
      <c r="A199" s="4" t="str">
        <f t="shared" si="0"/>
        <v>Jul</v>
      </c>
      <c r="B199" s="4">
        <v>198</v>
      </c>
      <c r="C199" s="3">
        <v>21748</v>
      </c>
      <c r="D199" s="4">
        <v>36</v>
      </c>
      <c r="E199" s="15"/>
      <c r="F199" s="8"/>
      <c r="G199" s="8"/>
      <c r="H199" s="8"/>
      <c r="I199" s="5"/>
      <c r="J199" s="8"/>
      <c r="K199" s="15"/>
    </row>
    <row r="200" spans="1:11" ht="15.75" customHeight="1">
      <c r="A200" s="4" t="str">
        <f t="shared" si="0"/>
        <v>Jul</v>
      </c>
      <c r="B200" s="4">
        <v>199</v>
      </c>
      <c r="C200" s="3">
        <v>21749</v>
      </c>
      <c r="D200" s="4">
        <v>45</v>
      </c>
      <c r="E200" s="15"/>
      <c r="F200" s="8"/>
      <c r="G200" s="8"/>
      <c r="H200" s="8"/>
      <c r="I200" s="5"/>
      <c r="J200" s="8"/>
      <c r="K200" s="15"/>
    </row>
    <row r="201" spans="1:11" ht="15.75" customHeight="1">
      <c r="A201" s="4" t="str">
        <f t="shared" si="0"/>
        <v>Jul</v>
      </c>
      <c r="B201" s="4">
        <v>200</v>
      </c>
      <c r="C201" s="3">
        <v>21750</v>
      </c>
      <c r="D201" s="4">
        <v>45</v>
      </c>
      <c r="E201" s="15"/>
      <c r="F201" s="8"/>
      <c r="G201" s="8"/>
      <c r="H201" s="8"/>
      <c r="I201" s="5"/>
      <c r="J201" s="8"/>
      <c r="K201" s="15"/>
    </row>
    <row r="202" spans="1:11" ht="15.75" customHeight="1">
      <c r="A202" s="4" t="str">
        <f t="shared" si="0"/>
        <v>Jul</v>
      </c>
      <c r="B202" s="4">
        <v>201</v>
      </c>
      <c r="C202" s="3">
        <v>21751</v>
      </c>
      <c r="D202" s="4">
        <v>45</v>
      </c>
      <c r="E202" s="15"/>
      <c r="F202" s="8"/>
      <c r="G202" s="8"/>
      <c r="H202" s="8"/>
      <c r="I202" s="5"/>
      <c r="J202" s="8"/>
      <c r="K202" s="15"/>
    </row>
    <row r="203" spans="1:11" ht="15.75" customHeight="1">
      <c r="A203" s="4" t="str">
        <f t="shared" si="0"/>
        <v>Jul</v>
      </c>
      <c r="B203" s="4">
        <v>202</v>
      </c>
      <c r="C203" s="3">
        <v>21752</v>
      </c>
      <c r="D203" s="4">
        <v>47</v>
      </c>
      <c r="E203" s="15"/>
      <c r="F203" s="8"/>
      <c r="G203" s="8"/>
      <c r="H203" s="8"/>
      <c r="I203" s="5"/>
      <c r="J203" s="8"/>
      <c r="K203" s="15"/>
    </row>
    <row r="204" spans="1:11" ht="15.75" customHeight="1">
      <c r="A204" s="4" t="str">
        <f t="shared" si="0"/>
        <v>Jul</v>
      </c>
      <c r="B204" s="4">
        <v>203</v>
      </c>
      <c r="C204" s="3">
        <v>21753</v>
      </c>
      <c r="D204" s="4">
        <v>38</v>
      </c>
      <c r="E204" s="15"/>
      <c r="F204" s="8"/>
      <c r="G204" s="8"/>
      <c r="H204" s="8"/>
      <c r="I204" s="5"/>
      <c r="J204" s="8"/>
      <c r="K204" s="15"/>
    </row>
    <row r="205" spans="1:11" ht="15.75" customHeight="1">
      <c r="A205" s="4" t="str">
        <f t="shared" si="0"/>
        <v>Jul</v>
      </c>
      <c r="B205" s="4">
        <v>204</v>
      </c>
      <c r="C205" s="3">
        <v>21754</v>
      </c>
      <c r="D205" s="4">
        <v>42</v>
      </c>
      <c r="E205" s="15"/>
      <c r="F205" s="8"/>
      <c r="G205" s="8"/>
      <c r="H205" s="8"/>
      <c r="I205" s="5"/>
      <c r="J205" s="8"/>
      <c r="K205" s="15"/>
    </row>
    <row r="206" spans="1:11" ht="15.75" customHeight="1">
      <c r="A206" s="4" t="str">
        <f t="shared" si="0"/>
        <v>Jul</v>
      </c>
      <c r="B206" s="4">
        <v>205</v>
      </c>
      <c r="C206" s="3">
        <v>21755</v>
      </c>
      <c r="D206" s="4">
        <v>35</v>
      </c>
      <c r="E206" s="15"/>
      <c r="F206" s="8"/>
      <c r="G206" s="8"/>
      <c r="H206" s="8"/>
      <c r="I206" s="5"/>
      <c r="J206" s="8"/>
      <c r="K206" s="15"/>
    </row>
    <row r="207" spans="1:11" ht="15.75" customHeight="1">
      <c r="A207" s="4" t="str">
        <f t="shared" si="0"/>
        <v>Jul</v>
      </c>
      <c r="B207" s="4">
        <v>206</v>
      </c>
      <c r="C207" s="3">
        <v>21756</v>
      </c>
      <c r="D207" s="4">
        <v>36</v>
      </c>
      <c r="E207" s="15"/>
      <c r="F207" s="8"/>
      <c r="G207" s="8"/>
      <c r="H207" s="8"/>
      <c r="I207" s="5"/>
      <c r="J207" s="8"/>
      <c r="K207" s="15"/>
    </row>
    <row r="208" spans="1:11" ht="15.75" customHeight="1">
      <c r="A208" s="4" t="str">
        <f t="shared" si="0"/>
        <v>Jul</v>
      </c>
      <c r="B208" s="4">
        <v>207</v>
      </c>
      <c r="C208" s="3">
        <v>21757</v>
      </c>
      <c r="D208" s="4">
        <v>39</v>
      </c>
      <c r="E208" s="15"/>
      <c r="F208" s="8"/>
      <c r="G208" s="8"/>
      <c r="H208" s="8"/>
      <c r="I208" s="5"/>
      <c r="J208" s="8"/>
      <c r="K208" s="15"/>
    </row>
    <row r="209" spans="1:11" ht="15.75" customHeight="1">
      <c r="A209" s="4" t="str">
        <f t="shared" si="0"/>
        <v>Jul</v>
      </c>
      <c r="B209" s="4">
        <v>208</v>
      </c>
      <c r="C209" s="3">
        <v>21758</v>
      </c>
      <c r="D209" s="4">
        <v>45</v>
      </c>
      <c r="E209" s="15"/>
      <c r="F209" s="8"/>
      <c r="G209" s="8"/>
      <c r="H209" s="8"/>
      <c r="I209" s="5"/>
      <c r="J209" s="8"/>
      <c r="K209" s="15"/>
    </row>
    <row r="210" spans="1:11" ht="15.75" customHeight="1">
      <c r="A210" s="4" t="str">
        <f t="shared" si="0"/>
        <v>Jul</v>
      </c>
      <c r="B210" s="4">
        <v>209</v>
      </c>
      <c r="C210" s="3">
        <v>21759</v>
      </c>
      <c r="D210" s="4">
        <v>43</v>
      </c>
      <c r="E210" s="15"/>
      <c r="F210" s="8"/>
      <c r="G210" s="8"/>
      <c r="H210" s="8"/>
      <c r="I210" s="5"/>
      <c r="J210" s="8"/>
      <c r="K210" s="15"/>
    </row>
    <row r="211" spans="1:11" ht="15.75" customHeight="1">
      <c r="A211" s="4" t="str">
        <f t="shared" si="0"/>
        <v>Jul</v>
      </c>
      <c r="B211" s="4">
        <v>210</v>
      </c>
      <c r="C211" s="3">
        <v>21760</v>
      </c>
      <c r="D211" s="4">
        <v>47</v>
      </c>
      <c r="E211" s="15"/>
      <c r="F211" s="8"/>
      <c r="G211" s="8"/>
      <c r="H211" s="8"/>
      <c r="I211" s="5"/>
      <c r="J211" s="8"/>
      <c r="K211" s="15"/>
    </row>
    <row r="212" spans="1:11" ht="15.75" customHeight="1">
      <c r="A212" s="4" t="str">
        <f t="shared" si="0"/>
        <v>Jul</v>
      </c>
      <c r="B212" s="4">
        <v>211</v>
      </c>
      <c r="C212" s="3">
        <v>21761</v>
      </c>
      <c r="D212" s="4">
        <v>36</v>
      </c>
      <c r="E212" s="15"/>
      <c r="F212" s="8"/>
      <c r="G212" s="8"/>
      <c r="H212" s="8"/>
      <c r="I212" s="5"/>
      <c r="J212" s="8"/>
      <c r="K212" s="15"/>
    </row>
    <row r="213" spans="1:11" ht="15.75" customHeight="1">
      <c r="A213" s="4" t="str">
        <f t="shared" si="0"/>
        <v>Jul</v>
      </c>
      <c r="B213" s="4">
        <v>212</v>
      </c>
      <c r="C213" s="3">
        <v>21762</v>
      </c>
      <c r="D213" s="4">
        <v>41</v>
      </c>
      <c r="E213" s="15"/>
      <c r="F213" s="8"/>
      <c r="G213" s="8"/>
      <c r="H213" s="8"/>
      <c r="I213" s="5"/>
      <c r="J213" s="8"/>
      <c r="K213" s="15"/>
    </row>
    <row r="214" spans="1:11" ht="15.75" customHeight="1">
      <c r="A214" s="4" t="str">
        <f t="shared" si="0"/>
        <v>Aug</v>
      </c>
      <c r="B214" s="4">
        <v>213</v>
      </c>
      <c r="C214" s="3">
        <v>21763</v>
      </c>
      <c r="D214" s="4">
        <v>50</v>
      </c>
      <c r="E214" s="15"/>
      <c r="F214" s="8"/>
      <c r="G214" s="8"/>
      <c r="H214" s="8"/>
      <c r="I214" s="5"/>
      <c r="J214" s="8"/>
      <c r="K214" s="15"/>
    </row>
    <row r="215" spans="1:11" ht="15.75" customHeight="1">
      <c r="A215" s="4" t="str">
        <f t="shared" si="0"/>
        <v>Aug</v>
      </c>
      <c r="B215" s="4">
        <v>214</v>
      </c>
      <c r="C215" s="3">
        <v>21764</v>
      </c>
      <c r="D215" s="4">
        <v>39</v>
      </c>
      <c r="E215" s="15"/>
      <c r="F215" s="8"/>
      <c r="G215" s="8"/>
      <c r="H215" s="8"/>
      <c r="I215" s="5"/>
      <c r="J215" s="8"/>
      <c r="K215" s="15"/>
    </row>
    <row r="216" spans="1:11" ht="15.75" customHeight="1">
      <c r="A216" s="4" t="str">
        <f t="shared" si="0"/>
        <v>Aug</v>
      </c>
      <c r="B216" s="4">
        <v>215</v>
      </c>
      <c r="C216" s="3">
        <v>21765</v>
      </c>
      <c r="D216" s="4">
        <v>41</v>
      </c>
      <c r="E216" s="15"/>
      <c r="F216" s="8"/>
      <c r="G216" s="8"/>
      <c r="H216" s="8"/>
      <c r="I216" s="5"/>
      <c r="J216" s="8"/>
      <c r="K216" s="15"/>
    </row>
    <row r="217" spans="1:11" ht="15.75" customHeight="1">
      <c r="A217" s="4" t="str">
        <f t="shared" si="0"/>
        <v>Aug</v>
      </c>
      <c r="B217" s="4">
        <v>216</v>
      </c>
      <c r="C217" s="3">
        <v>21766</v>
      </c>
      <c r="D217" s="4">
        <v>46</v>
      </c>
      <c r="E217" s="15"/>
      <c r="F217" s="8"/>
      <c r="G217" s="8"/>
      <c r="H217" s="8"/>
      <c r="I217" s="5"/>
      <c r="J217" s="8"/>
      <c r="K217" s="15"/>
    </row>
    <row r="218" spans="1:11" ht="15.75" customHeight="1">
      <c r="A218" s="4" t="str">
        <f t="shared" si="0"/>
        <v>Aug</v>
      </c>
      <c r="B218" s="4">
        <v>217</v>
      </c>
      <c r="C218" s="3">
        <v>21767</v>
      </c>
      <c r="D218" s="4">
        <v>64</v>
      </c>
      <c r="E218" s="15"/>
      <c r="F218" s="8"/>
      <c r="G218" s="8"/>
      <c r="H218" s="8"/>
      <c r="I218" s="5"/>
      <c r="J218" s="8"/>
      <c r="K218" s="15"/>
    </row>
    <row r="219" spans="1:11" ht="15.75" customHeight="1">
      <c r="A219" s="4" t="str">
        <f t="shared" si="0"/>
        <v>Aug</v>
      </c>
      <c r="B219" s="4">
        <v>218</v>
      </c>
      <c r="C219" s="3">
        <v>21768</v>
      </c>
      <c r="D219" s="4">
        <v>45</v>
      </c>
      <c r="E219" s="15"/>
      <c r="F219" s="8"/>
      <c r="G219" s="8"/>
      <c r="H219" s="8"/>
      <c r="I219" s="5"/>
      <c r="J219" s="8"/>
      <c r="K219" s="15"/>
    </row>
    <row r="220" spans="1:11" ht="15.75" customHeight="1">
      <c r="A220" s="4" t="str">
        <f t="shared" si="0"/>
        <v>Aug</v>
      </c>
      <c r="B220" s="4">
        <v>219</v>
      </c>
      <c r="C220" s="3">
        <v>21769</v>
      </c>
      <c r="D220" s="4">
        <v>34</v>
      </c>
      <c r="E220" s="15"/>
      <c r="F220" s="8"/>
      <c r="G220" s="8"/>
      <c r="H220" s="8"/>
      <c r="I220" s="5"/>
      <c r="J220" s="8"/>
      <c r="K220" s="15"/>
    </row>
    <row r="221" spans="1:11" ht="15.75" customHeight="1">
      <c r="A221" s="4" t="str">
        <f t="shared" si="0"/>
        <v>Aug</v>
      </c>
      <c r="B221" s="4">
        <v>220</v>
      </c>
      <c r="C221" s="3">
        <v>21770</v>
      </c>
      <c r="D221" s="4">
        <v>38</v>
      </c>
      <c r="E221" s="15"/>
      <c r="F221" s="8"/>
      <c r="G221" s="8"/>
      <c r="H221" s="8"/>
      <c r="I221" s="5"/>
      <c r="J221" s="8"/>
      <c r="K221" s="15"/>
    </row>
    <row r="222" spans="1:11" ht="15.75" customHeight="1">
      <c r="A222" s="4" t="str">
        <f t="shared" si="0"/>
        <v>Aug</v>
      </c>
      <c r="B222" s="4">
        <v>221</v>
      </c>
      <c r="C222" s="3">
        <v>21771</v>
      </c>
      <c r="D222" s="4">
        <v>44</v>
      </c>
      <c r="E222" s="15"/>
      <c r="F222" s="8"/>
      <c r="G222" s="8"/>
      <c r="H222" s="8"/>
      <c r="I222" s="5"/>
      <c r="J222" s="8"/>
      <c r="K222" s="15"/>
    </row>
    <row r="223" spans="1:11" ht="15.75" customHeight="1">
      <c r="A223" s="4" t="str">
        <f t="shared" si="0"/>
        <v>Aug</v>
      </c>
      <c r="B223" s="4">
        <v>222</v>
      </c>
      <c r="C223" s="3">
        <v>21772</v>
      </c>
      <c r="D223" s="4">
        <v>48</v>
      </c>
      <c r="E223" s="15"/>
      <c r="F223" s="8"/>
      <c r="G223" s="8"/>
      <c r="H223" s="8"/>
      <c r="I223" s="5"/>
      <c r="J223" s="8"/>
      <c r="K223" s="15"/>
    </row>
    <row r="224" spans="1:11" ht="15.75" customHeight="1">
      <c r="A224" s="4" t="str">
        <f t="shared" si="0"/>
        <v>Aug</v>
      </c>
      <c r="B224" s="4">
        <v>223</v>
      </c>
      <c r="C224" s="3">
        <v>21773</v>
      </c>
      <c r="D224" s="4">
        <v>46</v>
      </c>
      <c r="E224" s="15"/>
      <c r="F224" s="8"/>
      <c r="G224" s="8"/>
      <c r="H224" s="8"/>
      <c r="I224" s="5"/>
      <c r="J224" s="8"/>
      <c r="K224" s="15"/>
    </row>
    <row r="225" spans="1:11" ht="15.75" customHeight="1">
      <c r="A225" s="4" t="str">
        <f t="shared" si="0"/>
        <v>Aug</v>
      </c>
      <c r="B225" s="4">
        <v>224</v>
      </c>
      <c r="C225" s="3">
        <v>21774</v>
      </c>
      <c r="D225" s="4">
        <v>44</v>
      </c>
      <c r="E225" s="15"/>
      <c r="F225" s="8"/>
      <c r="G225" s="8"/>
      <c r="H225" s="8"/>
      <c r="I225" s="5"/>
      <c r="J225" s="8"/>
      <c r="K225" s="15"/>
    </row>
    <row r="226" spans="1:11" ht="15.75" customHeight="1">
      <c r="A226" s="4" t="str">
        <f t="shared" si="0"/>
        <v>Aug</v>
      </c>
      <c r="B226" s="4">
        <v>225</v>
      </c>
      <c r="C226" s="3">
        <v>21775</v>
      </c>
      <c r="D226" s="4">
        <v>37</v>
      </c>
      <c r="E226" s="15"/>
      <c r="F226" s="8"/>
      <c r="G226" s="8"/>
      <c r="H226" s="8"/>
      <c r="I226" s="5"/>
      <c r="J226" s="8"/>
      <c r="K226" s="15"/>
    </row>
    <row r="227" spans="1:11" ht="15.75" customHeight="1">
      <c r="A227" s="4" t="str">
        <f t="shared" si="0"/>
        <v>Aug</v>
      </c>
      <c r="B227" s="4">
        <v>226</v>
      </c>
      <c r="C227" s="3">
        <v>21776</v>
      </c>
      <c r="D227" s="4">
        <v>39</v>
      </c>
      <c r="E227" s="15"/>
      <c r="F227" s="8"/>
      <c r="G227" s="8"/>
      <c r="H227" s="8"/>
      <c r="I227" s="5"/>
      <c r="J227" s="8"/>
      <c r="K227" s="15"/>
    </row>
    <row r="228" spans="1:11" ht="15.75" customHeight="1">
      <c r="A228" s="4" t="str">
        <f t="shared" si="0"/>
        <v>Aug</v>
      </c>
      <c r="B228" s="4">
        <v>227</v>
      </c>
      <c r="C228" s="3">
        <v>21777</v>
      </c>
      <c r="D228" s="4">
        <v>44</v>
      </c>
      <c r="E228" s="15"/>
      <c r="F228" s="8"/>
      <c r="G228" s="8"/>
      <c r="H228" s="8"/>
      <c r="I228" s="5"/>
      <c r="J228" s="8"/>
      <c r="K228" s="15"/>
    </row>
    <row r="229" spans="1:11" ht="15.75" customHeight="1">
      <c r="A229" s="4" t="str">
        <f t="shared" si="0"/>
        <v>Aug</v>
      </c>
      <c r="B229" s="4">
        <v>228</v>
      </c>
      <c r="C229" s="3">
        <v>21778</v>
      </c>
      <c r="D229" s="4">
        <v>45</v>
      </c>
      <c r="E229" s="15"/>
      <c r="F229" s="8"/>
      <c r="G229" s="8"/>
      <c r="H229" s="8"/>
      <c r="I229" s="5"/>
      <c r="J229" s="8"/>
      <c r="K229" s="15"/>
    </row>
    <row r="230" spans="1:11" ht="15.75" customHeight="1">
      <c r="A230" s="4" t="str">
        <f t="shared" si="0"/>
        <v>Aug</v>
      </c>
      <c r="B230" s="4">
        <v>229</v>
      </c>
      <c r="C230" s="3">
        <v>21779</v>
      </c>
      <c r="D230" s="4">
        <v>33</v>
      </c>
      <c r="E230" s="15"/>
      <c r="F230" s="8"/>
      <c r="G230" s="8"/>
      <c r="H230" s="8"/>
      <c r="I230" s="5"/>
      <c r="J230" s="8"/>
      <c r="K230" s="15"/>
    </row>
    <row r="231" spans="1:11" ht="15.75" customHeight="1">
      <c r="A231" s="4" t="str">
        <f t="shared" si="0"/>
        <v>Aug</v>
      </c>
      <c r="B231" s="4">
        <v>230</v>
      </c>
      <c r="C231" s="3">
        <v>21780</v>
      </c>
      <c r="D231" s="4">
        <v>44</v>
      </c>
      <c r="E231" s="15"/>
      <c r="F231" s="8"/>
      <c r="G231" s="8"/>
      <c r="H231" s="8"/>
      <c r="I231" s="5"/>
      <c r="J231" s="8"/>
      <c r="K231" s="15"/>
    </row>
    <row r="232" spans="1:11" ht="15.75" customHeight="1">
      <c r="A232" s="4" t="str">
        <f t="shared" si="0"/>
        <v>Aug</v>
      </c>
      <c r="B232" s="4">
        <v>231</v>
      </c>
      <c r="C232" s="3">
        <v>21781</v>
      </c>
      <c r="D232" s="4">
        <v>38</v>
      </c>
      <c r="E232" s="15"/>
      <c r="F232" s="8"/>
      <c r="G232" s="8"/>
      <c r="H232" s="8"/>
      <c r="I232" s="5"/>
      <c r="J232" s="8"/>
      <c r="K232" s="15"/>
    </row>
    <row r="233" spans="1:11" ht="15.75" customHeight="1">
      <c r="A233" s="4" t="str">
        <f t="shared" si="0"/>
        <v>Aug</v>
      </c>
      <c r="B233" s="4">
        <v>232</v>
      </c>
      <c r="C233" s="3">
        <v>21782</v>
      </c>
      <c r="D233" s="4">
        <v>46</v>
      </c>
      <c r="E233" s="15"/>
      <c r="F233" s="8"/>
      <c r="G233" s="8"/>
      <c r="H233" s="8"/>
      <c r="I233" s="5"/>
      <c r="J233" s="8"/>
      <c r="K233" s="15"/>
    </row>
    <row r="234" spans="1:11" ht="15.75" customHeight="1">
      <c r="A234" s="4" t="str">
        <f t="shared" si="0"/>
        <v>Aug</v>
      </c>
      <c r="B234" s="4">
        <v>233</v>
      </c>
      <c r="C234" s="3">
        <v>21783</v>
      </c>
      <c r="D234" s="4">
        <v>46</v>
      </c>
      <c r="E234" s="15"/>
      <c r="F234" s="8"/>
      <c r="G234" s="8"/>
      <c r="H234" s="8"/>
      <c r="I234" s="5"/>
      <c r="J234" s="8"/>
      <c r="K234" s="15"/>
    </row>
    <row r="235" spans="1:11" ht="15.75" customHeight="1">
      <c r="A235" s="4" t="str">
        <f t="shared" si="0"/>
        <v>Aug</v>
      </c>
      <c r="B235" s="4">
        <v>234</v>
      </c>
      <c r="C235" s="3">
        <v>21784</v>
      </c>
      <c r="D235" s="4">
        <v>40</v>
      </c>
      <c r="E235" s="15"/>
      <c r="F235" s="8"/>
      <c r="G235" s="8"/>
      <c r="H235" s="8"/>
      <c r="I235" s="5"/>
      <c r="J235" s="8"/>
      <c r="K235" s="15"/>
    </row>
    <row r="236" spans="1:11" ht="15.75" customHeight="1">
      <c r="A236" s="4" t="str">
        <f t="shared" si="0"/>
        <v>Aug</v>
      </c>
      <c r="B236" s="4">
        <v>235</v>
      </c>
      <c r="C236" s="3">
        <v>21785</v>
      </c>
      <c r="D236" s="4">
        <v>39</v>
      </c>
      <c r="E236" s="15"/>
      <c r="F236" s="8"/>
      <c r="G236" s="8"/>
      <c r="H236" s="8"/>
      <c r="I236" s="5"/>
      <c r="J236" s="8"/>
      <c r="K236" s="15"/>
    </row>
    <row r="237" spans="1:11" ht="15.75" customHeight="1">
      <c r="A237" s="4" t="str">
        <f t="shared" si="0"/>
        <v>Aug</v>
      </c>
      <c r="B237" s="4">
        <v>236</v>
      </c>
      <c r="C237" s="3">
        <v>21786</v>
      </c>
      <c r="D237" s="4">
        <v>44</v>
      </c>
      <c r="E237" s="15"/>
      <c r="F237" s="8"/>
      <c r="G237" s="8"/>
      <c r="H237" s="8"/>
      <c r="I237" s="5"/>
      <c r="J237" s="8"/>
      <c r="K237" s="15"/>
    </row>
    <row r="238" spans="1:11" ht="15.75" customHeight="1">
      <c r="A238" s="4" t="str">
        <f t="shared" si="0"/>
        <v>Aug</v>
      </c>
      <c r="B238" s="4">
        <v>237</v>
      </c>
      <c r="C238" s="3">
        <v>21787</v>
      </c>
      <c r="D238" s="4">
        <v>48</v>
      </c>
      <c r="E238" s="15"/>
      <c r="F238" s="8"/>
      <c r="G238" s="8"/>
      <c r="H238" s="8"/>
      <c r="I238" s="5"/>
      <c r="J238" s="8"/>
      <c r="K238" s="15"/>
    </row>
    <row r="239" spans="1:11" ht="15.75" customHeight="1">
      <c r="A239" s="4" t="str">
        <f t="shared" si="0"/>
        <v>Aug</v>
      </c>
      <c r="B239" s="4">
        <v>238</v>
      </c>
      <c r="C239" s="3">
        <v>21788</v>
      </c>
      <c r="D239" s="4">
        <v>50</v>
      </c>
      <c r="E239" s="15"/>
      <c r="F239" s="8"/>
      <c r="G239" s="8"/>
      <c r="H239" s="8"/>
      <c r="I239" s="5"/>
      <c r="J239" s="8"/>
      <c r="K239" s="15"/>
    </row>
    <row r="240" spans="1:11" ht="15.75" customHeight="1">
      <c r="A240" s="4" t="str">
        <f t="shared" si="0"/>
        <v>Aug</v>
      </c>
      <c r="B240" s="4">
        <v>239</v>
      </c>
      <c r="C240" s="3">
        <v>21789</v>
      </c>
      <c r="D240" s="4">
        <v>41</v>
      </c>
      <c r="E240" s="15"/>
      <c r="F240" s="8"/>
      <c r="G240" s="8"/>
      <c r="H240" s="8"/>
      <c r="I240" s="5"/>
      <c r="J240" s="8"/>
      <c r="K240" s="15"/>
    </row>
    <row r="241" spans="1:11" ht="15.75" customHeight="1">
      <c r="A241" s="4" t="str">
        <f t="shared" si="0"/>
        <v>Aug</v>
      </c>
      <c r="B241" s="4">
        <v>240</v>
      </c>
      <c r="C241" s="3">
        <v>21790</v>
      </c>
      <c r="D241" s="4">
        <v>42</v>
      </c>
      <c r="E241" s="15"/>
      <c r="F241" s="8"/>
      <c r="G241" s="8"/>
      <c r="H241" s="8"/>
      <c r="I241" s="5"/>
      <c r="J241" s="8"/>
      <c r="K241" s="15"/>
    </row>
    <row r="242" spans="1:11" ht="15.75" customHeight="1">
      <c r="A242" s="4" t="str">
        <f t="shared" si="0"/>
        <v>Aug</v>
      </c>
      <c r="B242" s="4">
        <v>241</v>
      </c>
      <c r="C242" s="3">
        <v>21791</v>
      </c>
      <c r="D242" s="4">
        <v>51</v>
      </c>
      <c r="E242" s="15"/>
      <c r="F242" s="8"/>
      <c r="G242" s="8"/>
      <c r="H242" s="8"/>
      <c r="I242" s="5"/>
      <c r="J242" s="8"/>
      <c r="K242" s="15"/>
    </row>
    <row r="243" spans="1:11" ht="15.75" customHeight="1">
      <c r="A243" s="4" t="str">
        <f t="shared" si="0"/>
        <v>Aug</v>
      </c>
      <c r="B243" s="4">
        <v>242</v>
      </c>
      <c r="C243" s="3">
        <v>21792</v>
      </c>
      <c r="D243" s="4">
        <v>41</v>
      </c>
      <c r="E243" s="15"/>
      <c r="F243" s="8"/>
      <c r="G243" s="8"/>
      <c r="H243" s="8"/>
      <c r="I243" s="5"/>
      <c r="J243" s="8"/>
      <c r="K243" s="15"/>
    </row>
    <row r="244" spans="1:11" ht="15.75" customHeight="1">
      <c r="A244" s="4" t="str">
        <f t="shared" si="0"/>
        <v>Aug</v>
      </c>
      <c r="B244" s="4">
        <v>243</v>
      </c>
      <c r="C244" s="3">
        <v>21793</v>
      </c>
      <c r="D244" s="4">
        <v>44</v>
      </c>
      <c r="E244" s="15"/>
      <c r="F244" s="8"/>
      <c r="G244" s="8"/>
      <c r="H244" s="8"/>
      <c r="I244" s="5"/>
      <c r="J244" s="8"/>
      <c r="K244" s="15"/>
    </row>
    <row r="245" spans="1:11" ht="15.75" customHeight="1">
      <c r="A245" s="4" t="str">
        <f t="shared" si="0"/>
        <v>Sep</v>
      </c>
      <c r="B245" s="4">
        <v>244</v>
      </c>
      <c r="C245" s="3">
        <v>21794</v>
      </c>
      <c r="D245" s="4">
        <v>38</v>
      </c>
      <c r="E245" s="15"/>
      <c r="F245" s="8"/>
      <c r="G245" s="8"/>
      <c r="H245" s="8"/>
      <c r="I245" s="5"/>
      <c r="J245" s="8"/>
      <c r="K245" s="15"/>
    </row>
    <row r="246" spans="1:11" ht="15.75" customHeight="1">
      <c r="A246" s="4" t="str">
        <f t="shared" si="0"/>
        <v>Sep</v>
      </c>
      <c r="B246" s="4">
        <v>245</v>
      </c>
      <c r="C246" s="3">
        <v>21795</v>
      </c>
      <c r="D246" s="4">
        <v>68</v>
      </c>
      <c r="E246" s="15"/>
      <c r="F246" s="8"/>
      <c r="G246" s="8"/>
      <c r="H246" s="8"/>
      <c r="I246" s="5"/>
      <c r="J246" s="8"/>
      <c r="K246" s="15"/>
    </row>
    <row r="247" spans="1:11" ht="15.75" customHeight="1">
      <c r="A247" s="4" t="str">
        <f t="shared" si="0"/>
        <v>Sep</v>
      </c>
      <c r="B247" s="4">
        <v>246</v>
      </c>
      <c r="C247" s="3">
        <v>21796</v>
      </c>
      <c r="D247" s="4">
        <v>40</v>
      </c>
      <c r="E247" s="15"/>
      <c r="F247" s="8"/>
      <c r="G247" s="8"/>
      <c r="H247" s="8"/>
      <c r="I247" s="5"/>
      <c r="J247" s="8"/>
      <c r="K247" s="15"/>
    </row>
    <row r="248" spans="1:11" ht="15.75" customHeight="1">
      <c r="A248" s="4" t="str">
        <f t="shared" si="0"/>
        <v>Sep</v>
      </c>
      <c r="B248" s="4">
        <v>247</v>
      </c>
      <c r="C248" s="3">
        <v>21797</v>
      </c>
      <c r="D248" s="4">
        <v>42</v>
      </c>
      <c r="E248" s="15"/>
      <c r="F248" s="8"/>
      <c r="G248" s="8"/>
      <c r="H248" s="8"/>
      <c r="I248" s="5"/>
      <c r="J248" s="8"/>
      <c r="K248" s="15"/>
    </row>
    <row r="249" spans="1:11" ht="15.75" customHeight="1">
      <c r="A249" s="4" t="str">
        <f t="shared" si="0"/>
        <v>Sep</v>
      </c>
      <c r="B249" s="4">
        <v>248</v>
      </c>
      <c r="C249" s="3">
        <v>21798</v>
      </c>
      <c r="D249" s="4">
        <v>51</v>
      </c>
      <c r="E249" s="15"/>
      <c r="F249" s="8"/>
      <c r="G249" s="8"/>
      <c r="H249" s="8"/>
      <c r="I249" s="5"/>
      <c r="J249" s="8"/>
      <c r="K249" s="15"/>
    </row>
    <row r="250" spans="1:11" ht="15.75" customHeight="1">
      <c r="A250" s="4" t="str">
        <f t="shared" si="0"/>
        <v>Sep</v>
      </c>
      <c r="B250" s="4">
        <v>249</v>
      </c>
      <c r="C250" s="3">
        <v>21799</v>
      </c>
      <c r="D250" s="4">
        <v>44</v>
      </c>
      <c r="E250" s="15"/>
      <c r="F250" s="8"/>
      <c r="G250" s="8"/>
      <c r="H250" s="8"/>
      <c r="I250" s="5"/>
      <c r="J250" s="8"/>
      <c r="K250" s="15"/>
    </row>
    <row r="251" spans="1:11" ht="15.75" customHeight="1">
      <c r="A251" s="4" t="str">
        <f t="shared" si="0"/>
        <v>Sep</v>
      </c>
      <c r="B251" s="4">
        <v>250</v>
      </c>
      <c r="C251" s="3">
        <v>21800</v>
      </c>
      <c r="D251" s="4">
        <v>45</v>
      </c>
      <c r="E251" s="15"/>
      <c r="F251" s="8"/>
      <c r="G251" s="8"/>
      <c r="H251" s="8"/>
      <c r="I251" s="5"/>
      <c r="J251" s="8"/>
      <c r="K251" s="15"/>
    </row>
    <row r="252" spans="1:11" ht="15.75" customHeight="1">
      <c r="A252" s="4" t="str">
        <f t="shared" si="0"/>
        <v>Sep</v>
      </c>
      <c r="B252" s="4">
        <v>251</v>
      </c>
      <c r="C252" s="3">
        <v>21801</v>
      </c>
      <c r="D252" s="4">
        <v>36</v>
      </c>
      <c r="E252" s="15"/>
      <c r="F252" s="8"/>
      <c r="G252" s="8"/>
      <c r="H252" s="8"/>
      <c r="I252" s="5"/>
      <c r="J252" s="8"/>
      <c r="K252" s="15"/>
    </row>
    <row r="253" spans="1:11" ht="15.75" customHeight="1">
      <c r="A253" s="4" t="str">
        <f t="shared" si="0"/>
        <v>Sep</v>
      </c>
      <c r="B253" s="4">
        <v>252</v>
      </c>
      <c r="C253" s="3">
        <v>21802</v>
      </c>
      <c r="D253" s="4">
        <v>57</v>
      </c>
      <c r="E253" s="15"/>
      <c r="F253" s="8"/>
      <c r="G253" s="8"/>
      <c r="H253" s="8"/>
      <c r="I253" s="5"/>
      <c r="J253" s="8"/>
      <c r="K253" s="15"/>
    </row>
    <row r="254" spans="1:11" ht="15.75" customHeight="1">
      <c r="A254" s="4" t="str">
        <f t="shared" si="0"/>
        <v>Sep</v>
      </c>
      <c r="B254" s="4">
        <v>253</v>
      </c>
      <c r="C254" s="3">
        <v>21803</v>
      </c>
      <c r="D254" s="4">
        <v>44</v>
      </c>
      <c r="E254" s="15"/>
      <c r="F254" s="8"/>
      <c r="G254" s="8"/>
      <c r="H254" s="8"/>
      <c r="I254" s="5"/>
      <c r="J254" s="8"/>
      <c r="K254" s="15"/>
    </row>
    <row r="255" spans="1:11" ht="15.75" customHeight="1">
      <c r="A255" s="4" t="str">
        <f t="shared" si="0"/>
        <v>Sep</v>
      </c>
      <c r="B255" s="4">
        <v>254</v>
      </c>
      <c r="C255" s="3">
        <v>21804</v>
      </c>
      <c r="D255" s="4">
        <v>42</v>
      </c>
      <c r="E255" s="15"/>
      <c r="F255" s="8"/>
      <c r="G255" s="8"/>
      <c r="H255" s="8"/>
      <c r="I255" s="5"/>
      <c r="J255" s="8"/>
      <c r="K255" s="15"/>
    </row>
    <row r="256" spans="1:11" ht="15.75" customHeight="1">
      <c r="A256" s="4" t="str">
        <f t="shared" si="0"/>
        <v>Sep</v>
      </c>
      <c r="B256" s="4">
        <v>255</v>
      </c>
      <c r="C256" s="3">
        <v>21805</v>
      </c>
      <c r="D256" s="4">
        <v>53</v>
      </c>
      <c r="E256" s="15"/>
      <c r="F256" s="8"/>
      <c r="G256" s="8"/>
      <c r="H256" s="8"/>
      <c r="I256" s="5"/>
      <c r="J256" s="8"/>
      <c r="K256" s="15"/>
    </row>
    <row r="257" spans="1:11" ht="15.75" customHeight="1">
      <c r="A257" s="4" t="str">
        <f t="shared" ref="A257:A366" si="4">IF(MONTH(C257)=1, "Jan",  IF(MONTH(C257) = 2, "Feb", IF(MONTH(C257) = 3, "Mar", IF(MONTH(C257) = 4, "Apr", IF(MONTH(C257) = 5, "May", IF(MONTH(C257) = 6, "Jun", IF(MONTH(C257) = 7, "Jul", IF(MONTH(C257) = 8, "Aug", IF(MONTH(C257) = 9, "Sep", IF(MONTH(C257) = 10, "Oct", IF(MONTH(C257) = 11, "Nov", "Dec")))))))))))</f>
        <v>Sep</v>
      </c>
      <c r="B257" s="4">
        <v>256</v>
      </c>
      <c r="C257" s="3">
        <v>21806</v>
      </c>
      <c r="D257" s="4">
        <v>42</v>
      </c>
      <c r="E257" s="15"/>
      <c r="F257" s="8"/>
      <c r="G257" s="8"/>
      <c r="H257" s="8"/>
      <c r="I257" s="5"/>
      <c r="J257" s="8"/>
      <c r="K257" s="15"/>
    </row>
    <row r="258" spans="1:11" ht="15.75" customHeight="1">
      <c r="A258" s="4" t="str">
        <f t="shared" si="4"/>
        <v>Sep</v>
      </c>
      <c r="B258" s="4">
        <v>257</v>
      </c>
      <c r="C258" s="3">
        <v>21807</v>
      </c>
      <c r="D258" s="4">
        <v>34</v>
      </c>
      <c r="E258" s="15"/>
      <c r="F258" s="8"/>
      <c r="G258" s="8"/>
      <c r="H258" s="8"/>
      <c r="I258" s="5"/>
      <c r="J258" s="8"/>
      <c r="K258" s="15"/>
    </row>
    <row r="259" spans="1:11" ht="15.75" customHeight="1">
      <c r="A259" s="4" t="str">
        <f t="shared" si="4"/>
        <v>Sep</v>
      </c>
      <c r="B259" s="4">
        <v>258</v>
      </c>
      <c r="C259" s="3">
        <v>21808</v>
      </c>
      <c r="D259" s="4">
        <v>40</v>
      </c>
      <c r="E259" s="15"/>
      <c r="F259" s="8"/>
      <c r="G259" s="8"/>
      <c r="H259" s="8"/>
      <c r="I259" s="5"/>
      <c r="J259" s="8"/>
      <c r="K259" s="15"/>
    </row>
    <row r="260" spans="1:11" ht="15.75" customHeight="1">
      <c r="A260" s="4" t="str">
        <f t="shared" si="4"/>
        <v>Sep</v>
      </c>
      <c r="B260" s="4">
        <v>259</v>
      </c>
      <c r="C260" s="3">
        <v>21809</v>
      </c>
      <c r="D260" s="4">
        <v>56</v>
      </c>
      <c r="E260" s="15"/>
      <c r="F260" s="8"/>
      <c r="G260" s="8"/>
      <c r="H260" s="8"/>
      <c r="I260" s="5"/>
      <c r="J260" s="8"/>
      <c r="K260" s="15"/>
    </row>
    <row r="261" spans="1:11" ht="15.75" customHeight="1">
      <c r="A261" s="4" t="str">
        <f t="shared" si="4"/>
        <v>Sep</v>
      </c>
      <c r="B261" s="4">
        <v>260</v>
      </c>
      <c r="C261" s="3">
        <v>21810</v>
      </c>
      <c r="D261" s="4">
        <v>44</v>
      </c>
      <c r="E261" s="15"/>
      <c r="F261" s="8"/>
      <c r="G261" s="8"/>
      <c r="H261" s="8"/>
      <c r="I261" s="5"/>
      <c r="J261" s="8"/>
      <c r="K261" s="15"/>
    </row>
    <row r="262" spans="1:11" ht="15.75" customHeight="1">
      <c r="A262" s="4" t="str">
        <f t="shared" si="4"/>
        <v>Sep</v>
      </c>
      <c r="B262" s="4">
        <v>261</v>
      </c>
      <c r="C262" s="3">
        <v>21811</v>
      </c>
      <c r="D262" s="4">
        <v>53</v>
      </c>
      <c r="E262" s="15"/>
      <c r="F262" s="8"/>
      <c r="G262" s="8"/>
      <c r="H262" s="8"/>
      <c r="I262" s="5"/>
      <c r="J262" s="8"/>
      <c r="K262" s="15"/>
    </row>
    <row r="263" spans="1:11" ht="15.75" customHeight="1">
      <c r="A263" s="4" t="str">
        <f t="shared" si="4"/>
        <v>Sep</v>
      </c>
      <c r="B263" s="4">
        <v>262</v>
      </c>
      <c r="C263" s="3">
        <v>21812</v>
      </c>
      <c r="D263" s="4">
        <v>55</v>
      </c>
      <c r="E263" s="15"/>
      <c r="F263" s="8"/>
      <c r="G263" s="8"/>
      <c r="H263" s="8"/>
      <c r="I263" s="5"/>
      <c r="J263" s="8"/>
      <c r="K263" s="15"/>
    </row>
    <row r="264" spans="1:11" ht="15.75" customHeight="1">
      <c r="A264" s="4" t="str">
        <f t="shared" si="4"/>
        <v>Sep</v>
      </c>
      <c r="B264" s="4">
        <v>263</v>
      </c>
      <c r="C264" s="3">
        <v>21813</v>
      </c>
      <c r="D264" s="4">
        <v>39</v>
      </c>
      <c r="E264" s="15"/>
      <c r="F264" s="8"/>
      <c r="G264" s="8"/>
      <c r="H264" s="8"/>
      <c r="I264" s="5"/>
      <c r="J264" s="8"/>
      <c r="K264" s="15"/>
    </row>
    <row r="265" spans="1:11" ht="15.75" customHeight="1">
      <c r="A265" s="4" t="str">
        <f t="shared" si="4"/>
        <v>Sep</v>
      </c>
      <c r="B265" s="4">
        <v>264</v>
      </c>
      <c r="C265" s="3">
        <v>21814</v>
      </c>
      <c r="D265" s="4">
        <v>59</v>
      </c>
      <c r="E265" s="15"/>
      <c r="F265" s="8"/>
      <c r="G265" s="8"/>
      <c r="H265" s="8"/>
      <c r="I265" s="5"/>
      <c r="J265" s="8"/>
      <c r="K265" s="15"/>
    </row>
    <row r="266" spans="1:11" ht="15.75" customHeight="1">
      <c r="A266" s="4" t="str">
        <f t="shared" si="4"/>
        <v>Sep</v>
      </c>
      <c r="B266" s="4">
        <v>265</v>
      </c>
      <c r="C266" s="3">
        <v>21815</v>
      </c>
      <c r="D266" s="4">
        <v>55</v>
      </c>
      <c r="E266" s="15"/>
      <c r="F266" s="8"/>
      <c r="G266" s="8"/>
      <c r="H266" s="8"/>
      <c r="I266" s="5"/>
      <c r="J266" s="8"/>
      <c r="K266" s="15"/>
    </row>
    <row r="267" spans="1:11" ht="15.75" customHeight="1">
      <c r="A267" s="4" t="str">
        <f t="shared" si="4"/>
        <v>Sep</v>
      </c>
      <c r="B267" s="4">
        <v>266</v>
      </c>
      <c r="C267" s="3">
        <v>21816</v>
      </c>
      <c r="D267" s="4">
        <v>73</v>
      </c>
      <c r="E267" s="15"/>
      <c r="F267" s="8"/>
      <c r="G267" s="8"/>
      <c r="H267" s="8"/>
      <c r="I267" s="5"/>
      <c r="J267" s="8"/>
      <c r="K267" s="15"/>
    </row>
    <row r="268" spans="1:11" ht="15.75" customHeight="1">
      <c r="A268" s="4" t="str">
        <f t="shared" si="4"/>
        <v>Sep</v>
      </c>
      <c r="B268" s="4">
        <v>267</v>
      </c>
      <c r="C268" s="3">
        <v>21817</v>
      </c>
      <c r="D268" s="4">
        <v>55</v>
      </c>
      <c r="E268" s="15"/>
      <c r="F268" s="8"/>
      <c r="G268" s="8"/>
      <c r="H268" s="8"/>
      <c r="I268" s="5"/>
      <c r="J268" s="8"/>
      <c r="K268" s="15"/>
    </row>
    <row r="269" spans="1:11" ht="15.75" customHeight="1">
      <c r="A269" s="4" t="str">
        <f t="shared" si="4"/>
        <v>Sep</v>
      </c>
      <c r="B269" s="4">
        <v>268</v>
      </c>
      <c r="C269" s="3">
        <v>21818</v>
      </c>
      <c r="D269" s="4">
        <v>44</v>
      </c>
      <c r="E269" s="15"/>
      <c r="F269" s="8"/>
      <c r="G269" s="8"/>
      <c r="H269" s="8"/>
      <c r="I269" s="5"/>
      <c r="J269" s="8"/>
      <c r="K269" s="15"/>
    </row>
    <row r="270" spans="1:11" ht="15.75" customHeight="1">
      <c r="A270" s="4" t="str">
        <f t="shared" si="4"/>
        <v>Sep</v>
      </c>
      <c r="B270" s="4">
        <v>269</v>
      </c>
      <c r="C270" s="3">
        <v>21819</v>
      </c>
      <c r="D270" s="4">
        <v>43</v>
      </c>
      <c r="E270" s="15"/>
      <c r="F270" s="8"/>
      <c r="G270" s="8"/>
      <c r="H270" s="8"/>
      <c r="I270" s="5"/>
      <c r="J270" s="8"/>
      <c r="K270" s="15"/>
    </row>
    <row r="271" spans="1:11" ht="15.75" customHeight="1">
      <c r="A271" s="4" t="str">
        <f t="shared" si="4"/>
        <v>Sep</v>
      </c>
      <c r="B271" s="4">
        <v>270</v>
      </c>
      <c r="C271" s="3">
        <v>21820</v>
      </c>
      <c r="D271" s="4">
        <v>40</v>
      </c>
      <c r="E271" s="15"/>
      <c r="F271" s="8"/>
      <c r="G271" s="8"/>
      <c r="H271" s="8"/>
      <c r="I271" s="5"/>
      <c r="J271" s="8"/>
      <c r="K271" s="15"/>
    </row>
    <row r="272" spans="1:11" ht="15.75" customHeight="1">
      <c r="A272" s="4" t="str">
        <f t="shared" si="4"/>
        <v>Sep</v>
      </c>
      <c r="B272" s="4">
        <v>271</v>
      </c>
      <c r="C272" s="3">
        <v>21821</v>
      </c>
      <c r="D272" s="4">
        <v>47</v>
      </c>
      <c r="E272" s="15"/>
      <c r="F272" s="8"/>
      <c r="G272" s="8"/>
      <c r="H272" s="8"/>
      <c r="I272" s="5"/>
      <c r="J272" s="8"/>
      <c r="K272" s="15"/>
    </row>
    <row r="273" spans="1:11" ht="15.75" customHeight="1">
      <c r="A273" s="4" t="str">
        <f t="shared" si="4"/>
        <v>Sep</v>
      </c>
      <c r="B273" s="4">
        <v>272</v>
      </c>
      <c r="C273" s="3">
        <v>21822</v>
      </c>
      <c r="D273" s="4">
        <v>51</v>
      </c>
      <c r="E273" s="15"/>
      <c r="F273" s="8"/>
      <c r="G273" s="8"/>
      <c r="H273" s="8"/>
      <c r="I273" s="5"/>
      <c r="J273" s="8"/>
      <c r="K273" s="15"/>
    </row>
    <row r="274" spans="1:11" ht="15.75" customHeight="1">
      <c r="A274" s="4" t="str">
        <f t="shared" si="4"/>
        <v>Sep</v>
      </c>
      <c r="B274" s="4">
        <v>273</v>
      </c>
      <c r="C274" s="3">
        <v>21823</v>
      </c>
      <c r="D274" s="4">
        <v>56</v>
      </c>
      <c r="E274" s="15"/>
      <c r="F274" s="8"/>
      <c r="G274" s="8"/>
      <c r="H274" s="8"/>
      <c r="I274" s="5"/>
      <c r="J274" s="8"/>
      <c r="K274" s="15"/>
    </row>
    <row r="275" spans="1:11" ht="15.75" customHeight="1">
      <c r="A275" s="4" t="str">
        <f t="shared" si="4"/>
        <v>Oct</v>
      </c>
      <c r="B275" s="4">
        <v>274</v>
      </c>
      <c r="C275" s="3">
        <v>21824</v>
      </c>
      <c r="D275" s="4">
        <v>49</v>
      </c>
      <c r="E275" s="15"/>
      <c r="F275" s="8"/>
      <c r="G275" s="8"/>
      <c r="H275" s="8"/>
      <c r="I275" s="5"/>
      <c r="J275" s="8"/>
      <c r="K275" s="15"/>
    </row>
    <row r="276" spans="1:11" ht="15.75" customHeight="1">
      <c r="A276" s="4" t="str">
        <f t="shared" si="4"/>
        <v>Oct</v>
      </c>
      <c r="B276" s="4">
        <v>275</v>
      </c>
      <c r="C276" s="3">
        <v>21825</v>
      </c>
      <c r="D276" s="4">
        <v>54</v>
      </c>
      <c r="E276" s="15"/>
      <c r="F276" s="8"/>
      <c r="G276" s="8"/>
      <c r="H276" s="8"/>
      <c r="I276" s="5"/>
      <c r="J276" s="8"/>
      <c r="K276" s="15"/>
    </row>
    <row r="277" spans="1:11" ht="15.75" customHeight="1">
      <c r="A277" s="4" t="str">
        <f t="shared" si="4"/>
        <v>Oct</v>
      </c>
      <c r="B277" s="4">
        <v>276</v>
      </c>
      <c r="C277" s="3">
        <v>21826</v>
      </c>
      <c r="D277" s="4">
        <v>56</v>
      </c>
      <c r="E277" s="15"/>
      <c r="F277" s="8"/>
      <c r="G277" s="8"/>
      <c r="H277" s="8"/>
      <c r="I277" s="5"/>
      <c r="J277" s="8"/>
      <c r="K277" s="15"/>
    </row>
    <row r="278" spans="1:11" ht="15.75" customHeight="1">
      <c r="A278" s="4" t="str">
        <f t="shared" si="4"/>
        <v>Oct</v>
      </c>
      <c r="B278" s="4">
        <v>277</v>
      </c>
      <c r="C278" s="3">
        <v>21827</v>
      </c>
      <c r="D278" s="4">
        <v>47</v>
      </c>
      <c r="E278" s="15"/>
      <c r="F278" s="8"/>
      <c r="G278" s="8"/>
      <c r="H278" s="8"/>
      <c r="I278" s="5"/>
      <c r="J278" s="8"/>
      <c r="K278" s="15"/>
    </row>
    <row r="279" spans="1:11" ht="15.75" customHeight="1">
      <c r="A279" s="4" t="str">
        <f t="shared" si="4"/>
        <v>Oct</v>
      </c>
      <c r="B279" s="4">
        <v>278</v>
      </c>
      <c r="C279" s="3">
        <v>21828</v>
      </c>
      <c r="D279" s="4">
        <v>44</v>
      </c>
      <c r="E279" s="15"/>
      <c r="F279" s="8"/>
      <c r="G279" s="8"/>
      <c r="H279" s="8"/>
      <c r="I279" s="5"/>
      <c r="J279" s="8"/>
      <c r="K279" s="15"/>
    </row>
    <row r="280" spans="1:11" ht="15.75" customHeight="1">
      <c r="A280" s="4" t="str">
        <f t="shared" si="4"/>
        <v>Oct</v>
      </c>
      <c r="B280" s="4">
        <v>279</v>
      </c>
      <c r="C280" s="3">
        <v>21829</v>
      </c>
      <c r="D280" s="4">
        <v>43</v>
      </c>
      <c r="E280" s="15"/>
      <c r="F280" s="8"/>
      <c r="G280" s="8"/>
      <c r="H280" s="8"/>
      <c r="I280" s="5"/>
      <c r="J280" s="8"/>
      <c r="K280" s="15"/>
    </row>
    <row r="281" spans="1:11" ht="15.75" customHeight="1">
      <c r="A281" s="4" t="str">
        <f t="shared" si="4"/>
        <v>Oct</v>
      </c>
      <c r="B281" s="4">
        <v>280</v>
      </c>
      <c r="C281" s="3">
        <v>21830</v>
      </c>
      <c r="D281" s="4">
        <v>42</v>
      </c>
      <c r="E281" s="15"/>
      <c r="F281" s="8"/>
      <c r="G281" s="8"/>
      <c r="H281" s="8"/>
      <c r="I281" s="5"/>
      <c r="J281" s="8"/>
      <c r="K281" s="15"/>
    </row>
    <row r="282" spans="1:11" ht="15.75" customHeight="1">
      <c r="A282" s="4" t="str">
        <f t="shared" si="4"/>
        <v>Oct</v>
      </c>
      <c r="B282" s="4">
        <v>281</v>
      </c>
      <c r="C282" s="3">
        <v>21831</v>
      </c>
      <c r="D282" s="4">
        <v>45</v>
      </c>
      <c r="E282" s="15"/>
      <c r="F282" s="8"/>
      <c r="G282" s="8"/>
      <c r="H282" s="8"/>
      <c r="I282" s="5"/>
      <c r="J282" s="8"/>
      <c r="K282" s="15"/>
    </row>
    <row r="283" spans="1:11" ht="15.75" customHeight="1">
      <c r="A283" s="4" t="str">
        <f t="shared" si="4"/>
        <v>Oct</v>
      </c>
      <c r="B283" s="4">
        <v>282</v>
      </c>
      <c r="C283" s="3">
        <v>21832</v>
      </c>
      <c r="D283" s="4">
        <v>50</v>
      </c>
      <c r="E283" s="15"/>
      <c r="F283" s="8"/>
      <c r="G283" s="8"/>
      <c r="H283" s="8"/>
      <c r="I283" s="5"/>
      <c r="J283" s="8"/>
      <c r="K283" s="15"/>
    </row>
    <row r="284" spans="1:11" ht="15.75" customHeight="1">
      <c r="A284" s="4" t="str">
        <f t="shared" si="4"/>
        <v>Oct</v>
      </c>
      <c r="B284" s="4">
        <v>283</v>
      </c>
      <c r="C284" s="3">
        <v>21833</v>
      </c>
      <c r="D284" s="4">
        <v>48</v>
      </c>
      <c r="E284" s="15"/>
      <c r="F284" s="8"/>
      <c r="G284" s="8"/>
      <c r="H284" s="8"/>
      <c r="I284" s="5"/>
      <c r="J284" s="8"/>
      <c r="K284" s="15"/>
    </row>
    <row r="285" spans="1:11" ht="15.75" customHeight="1">
      <c r="A285" s="4" t="str">
        <f t="shared" si="4"/>
        <v>Oct</v>
      </c>
      <c r="B285" s="4">
        <v>284</v>
      </c>
      <c r="C285" s="3">
        <v>21834</v>
      </c>
      <c r="D285" s="4">
        <v>43</v>
      </c>
      <c r="E285" s="15"/>
      <c r="F285" s="8"/>
      <c r="G285" s="8"/>
      <c r="H285" s="8"/>
      <c r="I285" s="5"/>
      <c r="J285" s="8"/>
      <c r="K285" s="15"/>
    </row>
    <row r="286" spans="1:11" ht="15.75" customHeight="1">
      <c r="A286" s="4" t="str">
        <f t="shared" si="4"/>
        <v>Oct</v>
      </c>
      <c r="B286" s="4">
        <v>285</v>
      </c>
      <c r="C286" s="3">
        <v>21835</v>
      </c>
      <c r="D286" s="4">
        <v>40</v>
      </c>
      <c r="E286" s="15"/>
      <c r="F286" s="8"/>
      <c r="G286" s="8"/>
      <c r="H286" s="8"/>
      <c r="I286" s="5"/>
      <c r="J286" s="8"/>
      <c r="K286" s="15"/>
    </row>
    <row r="287" spans="1:11" ht="15.75" customHeight="1">
      <c r="A287" s="4" t="str">
        <f t="shared" si="4"/>
        <v>Oct</v>
      </c>
      <c r="B287" s="4">
        <v>286</v>
      </c>
      <c r="C287" s="3">
        <v>21836</v>
      </c>
      <c r="D287" s="4">
        <v>59</v>
      </c>
      <c r="E287" s="15"/>
      <c r="F287" s="8"/>
      <c r="G287" s="8"/>
      <c r="H287" s="8"/>
      <c r="I287" s="5"/>
      <c r="J287" s="8"/>
      <c r="K287" s="15"/>
    </row>
    <row r="288" spans="1:11" ht="15.75" customHeight="1">
      <c r="A288" s="4" t="str">
        <f t="shared" si="4"/>
        <v>Oct</v>
      </c>
      <c r="B288" s="4">
        <v>287</v>
      </c>
      <c r="C288" s="3">
        <v>21837</v>
      </c>
      <c r="D288" s="4">
        <v>41</v>
      </c>
      <c r="E288" s="15"/>
      <c r="F288" s="8"/>
      <c r="G288" s="8"/>
      <c r="H288" s="8"/>
      <c r="I288" s="5"/>
      <c r="J288" s="8"/>
      <c r="K288" s="15"/>
    </row>
    <row r="289" spans="1:11" ht="15.75" customHeight="1">
      <c r="A289" s="4" t="str">
        <f t="shared" si="4"/>
        <v>Oct</v>
      </c>
      <c r="B289" s="4">
        <v>288</v>
      </c>
      <c r="C289" s="3">
        <v>21838</v>
      </c>
      <c r="D289" s="4">
        <v>42</v>
      </c>
      <c r="E289" s="15"/>
      <c r="F289" s="8"/>
      <c r="G289" s="8"/>
      <c r="H289" s="8"/>
      <c r="I289" s="5"/>
      <c r="J289" s="8"/>
      <c r="K289" s="15"/>
    </row>
    <row r="290" spans="1:11" ht="15.75" customHeight="1">
      <c r="A290" s="4" t="str">
        <f t="shared" si="4"/>
        <v>Oct</v>
      </c>
      <c r="B290" s="4">
        <v>289</v>
      </c>
      <c r="C290" s="3">
        <v>21839</v>
      </c>
      <c r="D290" s="4">
        <v>51</v>
      </c>
      <c r="E290" s="15"/>
      <c r="F290" s="8"/>
      <c r="G290" s="8"/>
      <c r="H290" s="8"/>
      <c r="I290" s="5"/>
      <c r="J290" s="8"/>
      <c r="K290" s="15"/>
    </row>
    <row r="291" spans="1:11" ht="15.75" customHeight="1">
      <c r="A291" s="4" t="str">
        <f t="shared" si="4"/>
        <v>Oct</v>
      </c>
      <c r="B291" s="4">
        <v>290</v>
      </c>
      <c r="C291" s="3">
        <v>21840</v>
      </c>
      <c r="D291" s="4">
        <v>49</v>
      </c>
      <c r="E291" s="15"/>
      <c r="F291" s="8"/>
      <c r="G291" s="8"/>
      <c r="H291" s="8"/>
      <c r="I291" s="5"/>
      <c r="J291" s="8"/>
      <c r="K291" s="15"/>
    </row>
    <row r="292" spans="1:11" ht="15.75" customHeight="1">
      <c r="A292" s="4" t="str">
        <f t="shared" si="4"/>
        <v>Oct</v>
      </c>
      <c r="B292" s="4">
        <v>291</v>
      </c>
      <c r="C292" s="3">
        <v>21841</v>
      </c>
      <c r="D292" s="4">
        <v>45</v>
      </c>
      <c r="E292" s="15"/>
      <c r="F292" s="8"/>
      <c r="G292" s="8"/>
      <c r="H292" s="8"/>
      <c r="I292" s="5"/>
      <c r="J292" s="8"/>
      <c r="K292" s="15"/>
    </row>
    <row r="293" spans="1:11" ht="15.75" customHeight="1">
      <c r="A293" s="4" t="str">
        <f t="shared" si="4"/>
        <v>Oct</v>
      </c>
      <c r="B293" s="4">
        <v>292</v>
      </c>
      <c r="C293" s="3">
        <v>21842</v>
      </c>
      <c r="D293" s="4">
        <v>43</v>
      </c>
      <c r="E293" s="15"/>
      <c r="F293" s="8"/>
      <c r="G293" s="8"/>
      <c r="H293" s="8"/>
      <c r="I293" s="5"/>
      <c r="J293" s="8"/>
      <c r="K293" s="15"/>
    </row>
    <row r="294" spans="1:11" ht="15.75" customHeight="1">
      <c r="A294" s="4" t="str">
        <f t="shared" si="4"/>
        <v>Oct</v>
      </c>
      <c r="B294" s="4">
        <v>293</v>
      </c>
      <c r="C294" s="3">
        <v>21843</v>
      </c>
      <c r="D294" s="4">
        <v>42</v>
      </c>
      <c r="E294" s="15"/>
      <c r="F294" s="8"/>
      <c r="G294" s="8"/>
      <c r="H294" s="8"/>
      <c r="I294" s="5"/>
      <c r="J294" s="8"/>
      <c r="K294" s="15"/>
    </row>
    <row r="295" spans="1:11" ht="15.75" customHeight="1">
      <c r="A295" s="4" t="str">
        <f t="shared" si="4"/>
        <v>Oct</v>
      </c>
      <c r="B295" s="4">
        <v>294</v>
      </c>
      <c r="C295" s="3">
        <v>21844</v>
      </c>
      <c r="D295" s="4">
        <v>38</v>
      </c>
      <c r="E295" s="15"/>
      <c r="F295" s="8"/>
      <c r="G295" s="8"/>
      <c r="H295" s="8"/>
      <c r="I295" s="5"/>
      <c r="J295" s="8"/>
      <c r="K295" s="15"/>
    </row>
    <row r="296" spans="1:11" ht="15.75" customHeight="1">
      <c r="A296" s="4" t="str">
        <f t="shared" si="4"/>
        <v>Oct</v>
      </c>
      <c r="B296" s="4">
        <v>295</v>
      </c>
      <c r="C296" s="3">
        <v>21845</v>
      </c>
      <c r="D296" s="4">
        <v>47</v>
      </c>
      <c r="E296" s="15"/>
      <c r="F296" s="8"/>
      <c r="G296" s="8"/>
      <c r="H296" s="8"/>
      <c r="I296" s="5"/>
      <c r="J296" s="8"/>
      <c r="K296" s="15"/>
    </row>
    <row r="297" spans="1:11" ht="15.75" customHeight="1">
      <c r="A297" s="4" t="str">
        <f t="shared" si="4"/>
        <v>Oct</v>
      </c>
      <c r="B297" s="4">
        <v>296</v>
      </c>
      <c r="C297" s="3">
        <v>21846</v>
      </c>
      <c r="D297" s="4">
        <v>38</v>
      </c>
      <c r="E297" s="15"/>
      <c r="F297" s="8"/>
      <c r="G297" s="8"/>
      <c r="H297" s="8"/>
      <c r="I297" s="5"/>
      <c r="J297" s="8"/>
      <c r="K297" s="15"/>
    </row>
    <row r="298" spans="1:11" ht="15.75" customHeight="1">
      <c r="A298" s="4" t="str">
        <f t="shared" si="4"/>
        <v>Oct</v>
      </c>
      <c r="B298" s="4">
        <v>297</v>
      </c>
      <c r="C298" s="3">
        <v>21847</v>
      </c>
      <c r="D298" s="4">
        <v>36</v>
      </c>
      <c r="E298" s="15"/>
      <c r="F298" s="8"/>
      <c r="G298" s="8"/>
      <c r="H298" s="8"/>
      <c r="I298" s="5"/>
      <c r="J298" s="8"/>
      <c r="K298" s="15"/>
    </row>
    <row r="299" spans="1:11" ht="15.75" customHeight="1">
      <c r="A299" s="4" t="str">
        <f t="shared" si="4"/>
        <v>Oct</v>
      </c>
      <c r="B299" s="4">
        <v>298</v>
      </c>
      <c r="C299" s="3">
        <v>21848</v>
      </c>
      <c r="D299" s="4">
        <v>42</v>
      </c>
      <c r="E299" s="15"/>
      <c r="F299" s="8"/>
      <c r="G299" s="8"/>
      <c r="H299" s="8"/>
      <c r="I299" s="5"/>
      <c r="J299" s="8"/>
      <c r="K299" s="15"/>
    </row>
    <row r="300" spans="1:11" ht="15.75" customHeight="1">
      <c r="A300" s="4" t="str">
        <f t="shared" si="4"/>
        <v>Oct</v>
      </c>
      <c r="B300" s="4">
        <v>299</v>
      </c>
      <c r="C300" s="3">
        <v>21849</v>
      </c>
      <c r="D300" s="4">
        <v>35</v>
      </c>
      <c r="E300" s="15"/>
      <c r="F300" s="8"/>
      <c r="G300" s="8"/>
      <c r="H300" s="8"/>
      <c r="I300" s="5"/>
      <c r="J300" s="8"/>
      <c r="K300" s="15"/>
    </row>
    <row r="301" spans="1:11" ht="15.75" customHeight="1">
      <c r="A301" s="4" t="str">
        <f t="shared" si="4"/>
        <v>Oct</v>
      </c>
      <c r="B301" s="4">
        <v>300</v>
      </c>
      <c r="C301" s="3">
        <v>21850</v>
      </c>
      <c r="D301" s="4">
        <v>28</v>
      </c>
      <c r="E301" s="15"/>
      <c r="F301" s="8"/>
      <c r="G301" s="8"/>
      <c r="H301" s="8"/>
      <c r="I301" s="5"/>
      <c r="J301" s="8"/>
      <c r="K301" s="15"/>
    </row>
    <row r="302" spans="1:11" ht="15.75" customHeight="1">
      <c r="A302" s="4" t="str">
        <f t="shared" si="4"/>
        <v>Oct</v>
      </c>
      <c r="B302" s="4">
        <v>301</v>
      </c>
      <c r="C302" s="3">
        <v>21851</v>
      </c>
      <c r="D302" s="4">
        <v>44</v>
      </c>
      <c r="E302" s="15"/>
      <c r="F302" s="8"/>
      <c r="G302" s="8"/>
      <c r="H302" s="8"/>
      <c r="I302" s="5"/>
      <c r="J302" s="8"/>
      <c r="K302" s="15"/>
    </row>
    <row r="303" spans="1:11" ht="15.75" customHeight="1">
      <c r="A303" s="4" t="str">
        <f t="shared" si="4"/>
        <v>Oct</v>
      </c>
      <c r="B303" s="4">
        <v>302</v>
      </c>
      <c r="C303" s="3">
        <v>21852</v>
      </c>
      <c r="D303" s="4">
        <v>36</v>
      </c>
      <c r="E303" s="15"/>
      <c r="F303" s="8"/>
      <c r="G303" s="8"/>
      <c r="H303" s="8"/>
      <c r="I303" s="5"/>
      <c r="J303" s="8"/>
      <c r="K303" s="15"/>
    </row>
    <row r="304" spans="1:11" ht="15.75" customHeight="1">
      <c r="A304" s="4" t="str">
        <f t="shared" si="4"/>
        <v>Oct</v>
      </c>
      <c r="B304" s="4">
        <v>303</v>
      </c>
      <c r="C304" s="3">
        <v>21853</v>
      </c>
      <c r="D304" s="4">
        <v>45</v>
      </c>
      <c r="E304" s="15"/>
      <c r="F304" s="8"/>
      <c r="G304" s="8"/>
      <c r="H304" s="8"/>
      <c r="I304" s="5"/>
      <c r="J304" s="8"/>
      <c r="K304" s="15"/>
    </row>
    <row r="305" spans="1:11" ht="15.75" customHeight="1">
      <c r="A305" s="4" t="str">
        <f t="shared" si="4"/>
        <v>Oct</v>
      </c>
      <c r="B305" s="4">
        <v>304</v>
      </c>
      <c r="C305" s="3">
        <v>21854</v>
      </c>
      <c r="D305" s="4">
        <v>46</v>
      </c>
      <c r="E305" s="15"/>
      <c r="F305" s="8"/>
      <c r="G305" s="8"/>
      <c r="H305" s="8"/>
      <c r="I305" s="5"/>
      <c r="J305" s="8"/>
      <c r="K305" s="15"/>
    </row>
    <row r="306" spans="1:11" ht="15.75" customHeight="1">
      <c r="A306" s="4" t="str">
        <f t="shared" si="4"/>
        <v>Nov</v>
      </c>
      <c r="B306" s="4">
        <v>305</v>
      </c>
      <c r="C306" s="3">
        <v>21855</v>
      </c>
      <c r="D306" s="4">
        <v>48</v>
      </c>
      <c r="E306" s="15"/>
      <c r="F306" s="8"/>
      <c r="G306" s="8"/>
      <c r="H306" s="8"/>
      <c r="I306" s="5"/>
      <c r="J306" s="8"/>
      <c r="K306" s="15"/>
    </row>
    <row r="307" spans="1:11" ht="15.75" customHeight="1">
      <c r="A307" s="4" t="str">
        <f t="shared" si="4"/>
        <v>Nov</v>
      </c>
      <c r="B307" s="4">
        <v>306</v>
      </c>
      <c r="C307" s="3">
        <v>21856</v>
      </c>
      <c r="D307" s="4">
        <v>49</v>
      </c>
      <c r="E307" s="15"/>
      <c r="F307" s="8"/>
      <c r="G307" s="8"/>
      <c r="H307" s="8"/>
      <c r="I307" s="5"/>
      <c r="J307" s="8"/>
      <c r="K307" s="15"/>
    </row>
    <row r="308" spans="1:11" ht="15.75" customHeight="1">
      <c r="A308" s="4" t="str">
        <f t="shared" si="4"/>
        <v>Nov</v>
      </c>
      <c r="B308" s="4">
        <v>307</v>
      </c>
      <c r="C308" s="3">
        <v>21857</v>
      </c>
      <c r="D308" s="4">
        <v>43</v>
      </c>
      <c r="E308" s="15"/>
      <c r="F308" s="8"/>
      <c r="G308" s="8"/>
      <c r="H308" s="8"/>
      <c r="I308" s="5"/>
      <c r="J308" s="8"/>
      <c r="K308" s="15"/>
    </row>
    <row r="309" spans="1:11" ht="15.75" customHeight="1">
      <c r="A309" s="4" t="str">
        <f t="shared" si="4"/>
        <v>Nov</v>
      </c>
      <c r="B309" s="4">
        <v>308</v>
      </c>
      <c r="C309" s="3">
        <v>21858</v>
      </c>
      <c r="D309" s="4">
        <v>42</v>
      </c>
      <c r="E309" s="15"/>
      <c r="F309" s="8"/>
      <c r="G309" s="8"/>
      <c r="H309" s="8"/>
      <c r="I309" s="5"/>
      <c r="J309" s="8"/>
      <c r="K309" s="15"/>
    </row>
    <row r="310" spans="1:11" ht="15.75" customHeight="1">
      <c r="A310" s="4" t="str">
        <f t="shared" si="4"/>
        <v>Nov</v>
      </c>
      <c r="B310" s="4">
        <v>309</v>
      </c>
      <c r="C310" s="3">
        <v>21859</v>
      </c>
      <c r="D310" s="4">
        <v>59</v>
      </c>
      <c r="E310" s="15"/>
      <c r="F310" s="8"/>
      <c r="G310" s="8"/>
      <c r="H310" s="8"/>
      <c r="I310" s="5"/>
      <c r="J310" s="8"/>
      <c r="K310" s="15"/>
    </row>
    <row r="311" spans="1:11" ht="15.75" customHeight="1">
      <c r="A311" s="4" t="str">
        <f t="shared" si="4"/>
        <v>Nov</v>
      </c>
      <c r="B311" s="4">
        <v>310</v>
      </c>
      <c r="C311" s="3">
        <v>21860</v>
      </c>
      <c r="D311" s="4">
        <v>45</v>
      </c>
      <c r="E311" s="15"/>
      <c r="F311" s="8"/>
      <c r="G311" s="8"/>
      <c r="H311" s="8"/>
      <c r="I311" s="5"/>
      <c r="J311" s="8"/>
      <c r="K311" s="15"/>
    </row>
    <row r="312" spans="1:11" ht="15.75" customHeight="1">
      <c r="A312" s="4" t="str">
        <f t="shared" si="4"/>
        <v>Nov</v>
      </c>
      <c r="B312" s="4">
        <v>311</v>
      </c>
      <c r="C312" s="3">
        <v>21861</v>
      </c>
      <c r="D312" s="4">
        <v>52</v>
      </c>
      <c r="E312" s="15"/>
      <c r="F312" s="8"/>
      <c r="G312" s="8"/>
      <c r="H312" s="8"/>
      <c r="I312" s="5"/>
      <c r="J312" s="8"/>
      <c r="K312" s="15"/>
    </row>
    <row r="313" spans="1:11" ht="15.75" customHeight="1">
      <c r="A313" s="4" t="str">
        <f t="shared" si="4"/>
        <v>Nov</v>
      </c>
      <c r="B313" s="4">
        <v>312</v>
      </c>
      <c r="C313" s="3">
        <v>21862</v>
      </c>
      <c r="D313" s="4">
        <v>46</v>
      </c>
      <c r="E313" s="15"/>
      <c r="F313" s="8"/>
      <c r="G313" s="8"/>
      <c r="H313" s="8"/>
      <c r="I313" s="5"/>
      <c r="J313" s="8"/>
      <c r="K313" s="15"/>
    </row>
    <row r="314" spans="1:11" ht="15.75" customHeight="1">
      <c r="A314" s="4" t="str">
        <f t="shared" si="4"/>
        <v>Nov</v>
      </c>
      <c r="B314" s="4">
        <v>313</v>
      </c>
      <c r="C314" s="3">
        <v>21863</v>
      </c>
      <c r="D314" s="4">
        <v>42</v>
      </c>
      <c r="E314" s="15"/>
      <c r="F314" s="8"/>
      <c r="G314" s="8"/>
      <c r="H314" s="8"/>
      <c r="I314" s="5"/>
      <c r="J314" s="8"/>
      <c r="K314" s="15"/>
    </row>
    <row r="315" spans="1:11" ht="15.75" customHeight="1">
      <c r="A315" s="4" t="str">
        <f t="shared" si="4"/>
        <v>Nov</v>
      </c>
      <c r="B315" s="4">
        <v>314</v>
      </c>
      <c r="C315" s="3">
        <v>21864</v>
      </c>
      <c r="D315" s="4">
        <v>40</v>
      </c>
      <c r="E315" s="15"/>
      <c r="F315" s="8"/>
      <c r="G315" s="8"/>
      <c r="H315" s="8"/>
      <c r="I315" s="5"/>
      <c r="J315" s="8"/>
      <c r="K315" s="15"/>
    </row>
    <row r="316" spans="1:11" ht="15.75" customHeight="1">
      <c r="A316" s="4" t="str">
        <f t="shared" si="4"/>
        <v>Nov</v>
      </c>
      <c r="B316" s="4">
        <v>315</v>
      </c>
      <c r="C316" s="3">
        <v>21865</v>
      </c>
      <c r="D316" s="4">
        <v>40</v>
      </c>
      <c r="E316" s="15"/>
      <c r="F316" s="8"/>
      <c r="G316" s="8"/>
      <c r="H316" s="8"/>
      <c r="I316" s="5"/>
      <c r="J316" s="8"/>
      <c r="K316" s="15"/>
    </row>
    <row r="317" spans="1:11" ht="15.75" customHeight="1">
      <c r="A317" s="4" t="str">
        <f t="shared" si="4"/>
        <v>Nov</v>
      </c>
      <c r="B317" s="4">
        <v>316</v>
      </c>
      <c r="C317" s="3">
        <v>21866</v>
      </c>
      <c r="D317" s="4">
        <v>45</v>
      </c>
      <c r="E317" s="15"/>
      <c r="F317" s="8"/>
      <c r="G317" s="8"/>
      <c r="H317" s="8"/>
      <c r="I317" s="5"/>
      <c r="J317" s="8"/>
      <c r="K317" s="15"/>
    </row>
    <row r="318" spans="1:11" ht="15.75" customHeight="1">
      <c r="A318" s="4" t="str">
        <f t="shared" si="4"/>
        <v>Nov</v>
      </c>
      <c r="B318" s="4">
        <v>317</v>
      </c>
      <c r="C318" s="3">
        <v>21867</v>
      </c>
      <c r="D318" s="4">
        <v>35</v>
      </c>
      <c r="E318" s="15"/>
      <c r="F318" s="8"/>
      <c r="G318" s="8"/>
      <c r="H318" s="8"/>
      <c r="I318" s="5"/>
      <c r="J318" s="8"/>
      <c r="K318" s="15"/>
    </row>
    <row r="319" spans="1:11" ht="15.75" customHeight="1">
      <c r="A319" s="4" t="str">
        <f t="shared" si="4"/>
        <v>Nov</v>
      </c>
      <c r="B319" s="4">
        <v>318</v>
      </c>
      <c r="C319" s="3">
        <v>21868</v>
      </c>
      <c r="D319" s="4">
        <v>35</v>
      </c>
      <c r="E319" s="15"/>
      <c r="F319" s="8"/>
      <c r="G319" s="8"/>
      <c r="H319" s="8"/>
      <c r="I319" s="5"/>
      <c r="J319" s="8"/>
      <c r="K319" s="15"/>
    </row>
    <row r="320" spans="1:11" ht="15.75" customHeight="1">
      <c r="A320" s="4" t="str">
        <f t="shared" si="4"/>
        <v>Nov</v>
      </c>
      <c r="B320" s="4">
        <v>319</v>
      </c>
      <c r="C320" s="3">
        <v>21869</v>
      </c>
      <c r="D320" s="4">
        <v>40</v>
      </c>
      <c r="E320" s="15"/>
      <c r="F320" s="8"/>
      <c r="G320" s="8"/>
      <c r="H320" s="8"/>
      <c r="I320" s="5"/>
      <c r="J320" s="8"/>
      <c r="K320" s="15"/>
    </row>
    <row r="321" spans="1:11" ht="15.75" customHeight="1">
      <c r="A321" s="4" t="str">
        <f t="shared" si="4"/>
        <v>Nov</v>
      </c>
      <c r="B321" s="4">
        <v>320</v>
      </c>
      <c r="C321" s="3">
        <v>21870</v>
      </c>
      <c r="D321" s="4">
        <v>39</v>
      </c>
      <c r="E321" s="15"/>
      <c r="F321" s="8"/>
      <c r="G321" s="8"/>
      <c r="H321" s="8"/>
      <c r="I321" s="5"/>
      <c r="J321" s="8"/>
      <c r="K321" s="15"/>
    </row>
    <row r="322" spans="1:11" ht="15.75" customHeight="1">
      <c r="A322" s="4" t="str">
        <f t="shared" si="4"/>
        <v>Nov</v>
      </c>
      <c r="B322" s="4">
        <v>321</v>
      </c>
      <c r="C322" s="3">
        <v>21871</v>
      </c>
      <c r="D322" s="4">
        <v>33</v>
      </c>
      <c r="E322" s="15"/>
      <c r="F322" s="8"/>
      <c r="G322" s="8"/>
      <c r="H322" s="8"/>
      <c r="I322" s="5"/>
      <c r="J322" s="8"/>
      <c r="K322" s="15"/>
    </row>
    <row r="323" spans="1:11" ht="15.75" customHeight="1">
      <c r="A323" s="4" t="str">
        <f t="shared" si="4"/>
        <v>Nov</v>
      </c>
      <c r="B323" s="4">
        <v>322</v>
      </c>
      <c r="C323" s="3">
        <v>21872</v>
      </c>
      <c r="D323" s="4">
        <v>42</v>
      </c>
      <c r="E323" s="15"/>
      <c r="F323" s="8"/>
      <c r="G323" s="8"/>
      <c r="H323" s="8"/>
      <c r="I323" s="5"/>
      <c r="J323" s="8"/>
      <c r="K323" s="15"/>
    </row>
    <row r="324" spans="1:11" ht="15.75" customHeight="1">
      <c r="A324" s="4" t="str">
        <f t="shared" si="4"/>
        <v>Nov</v>
      </c>
      <c r="B324" s="4">
        <v>323</v>
      </c>
      <c r="C324" s="3">
        <v>21873</v>
      </c>
      <c r="D324" s="4">
        <v>47</v>
      </c>
      <c r="E324" s="15"/>
      <c r="F324" s="8"/>
      <c r="G324" s="8"/>
      <c r="H324" s="8"/>
      <c r="I324" s="5"/>
      <c r="J324" s="8"/>
      <c r="K324" s="15"/>
    </row>
    <row r="325" spans="1:11" ht="15.75" customHeight="1">
      <c r="A325" s="4" t="str">
        <f t="shared" si="4"/>
        <v>Nov</v>
      </c>
      <c r="B325" s="4">
        <v>324</v>
      </c>
      <c r="C325" s="3">
        <v>21874</v>
      </c>
      <c r="D325" s="4">
        <v>51</v>
      </c>
      <c r="E325" s="15"/>
      <c r="F325" s="8"/>
      <c r="G325" s="8"/>
      <c r="H325" s="8"/>
      <c r="I325" s="5"/>
      <c r="J325" s="8"/>
      <c r="K325" s="15"/>
    </row>
    <row r="326" spans="1:11" ht="15.75" customHeight="1">
      <c r="A326" s="4" t="str">
        <f t="shared" si="4"/>
        <v>Nov</v>
      </c>
      <c r="B326" s="4">
        <v>325</v>
      </c>
      <c r="C326" s="3">
        <v>21875</v>
      </c>
      <c r="D326" s="4">
        <v>44</v>
      </c>
      <c r="E326" s="15"/>
      <c r="F326" s="8"/>
      <c r="G326" s="8"/>
      <c r="H326" s="8"/>
      <c r="I326" s="5"/>
      <c r="J326" s="8"/>
      <c r="K326" s="15"/>
    </row>
    <row r="327" spans="1:11" ht="15.75" customHeight="1">
      <c r="A327" s="4" t="str">
        <f t="shared" si="4"/>
        <v>Nov</v>
      </c>
      <c r="B327" s="4">
        <v>326</v>
      </c>
      <c r="C327" s="3">
        <v>21876</v>
      </c>
      <c r="D327" s="4">
        <v>40</v>
      </c>
      <c r="E327" s="15"/>
      <c r="F327" s="8"/>
      <c r="G327" s="8"/>
      <c r="H327" s="8"/>
      <c r="I327" s="5"/>
      <c r="J327" s="8"/>
      <c r="K327" s="15"/>
    </row>
    <row r="328" spans="1:11" ht="15.75" customHeight="1">
      <c r="A328" s="4" t="str">
        <f t="shared" si="4"/>
        <v>Nov</v>
      </c>
      <c r="B328" s="4">
        <v>327</v>
      </c>
      <c r="C328" s="3">
        <v>21877</v>
      </c>
      <c r="D328" s="4">
        <v>57</v>
      </c>
      <c r="E328" s="15"/>
      <c r="F328" s="8"/>
      <c r="G328" s="8"/>
      <c r="H328" s="8"/>
      <c r="I328" s="5"/>
      <c r="J328" s="8"/>
      <c r="K328" s="15"/>
    </row>
    <row r="329" spans="1:11" ht="15.75" customHeight="1">
      <c r="A329" s="4" t="str">
        <f t="shared" si="4"/>
        <v>Nov</v>
      </c>
      <c r="B329" s="4">
        <v>328</v>
      </c>
      <c r="C329" s="3">
        <v>21878</v>
      </c>
      <c r="D329" s="4">
        <v>49</v>
      </c>
      <c r="E329" s="15"/>
      <c r="F329" s="8"/>
      <c r="G329" s="8"/>
      <c r="H329" s="8"/>
      <c r="I329" s="5"/>
      <c r="J329" s="8"/>
      <c r="K329" s="15"/>
    </row>
    <row r="330" spans="1:11" ht="15.75" customHeight="1">
      <c r="A330" s="4" t="str">
        <f t="shared" si="4"/>
        <v>Nov</v>
      </c>
      <c r="B330" s="4">
        <v>329</v>
      </c>
      <c r="C330" s="3">
        <v>21879</v>
      </c>
      <c r="D330" s="4">
        <v>45</v>
      </c>
      <c r="E330" s="15"/>
      <c r="F330" s="8"/>
      <c r="G330" s="8"/>
      <c r="H330" s="8"/>
      <c r="I330" s="5"/>
      <c r="J330" s="8"/>
      <c r="K330" s="15"/>
    </row>
    <row r="331" spans="1:11" ht="15.75" customHeight="1">
      <c r="A331" s="4" t="str">
        <f t="shared" si="4"/>
        <v>Nov</v>
      </c>
      <c r="B331" s="4">
        <v>330</v>
      </c>
      <c r="C331" s="3">
        <v>21880</v>
      </c>
      <c r="D331" s="4">
        <v>49</v>
      </c>
      <c r="E331" s="15"/>
      <c r="F331" s="8"/>
      <c r="G331" s="8"/>
      <c r="H331" s="8"/>
      <c r="I331" s="5"/>
      <c r="J331" s="8"/>
      <c r="K331" s="15"/>
    </row>
    <row r="332" spans="1:11" ht="15.75" customHeight="1">
      <c r="A332" s="4" t="str">
        <f t="shared" si="4"/>
        <v>Nov</v>
      </c>
      <c r="B332" s="4">
        <v>331</v>
      </c>
      <c r="C332" s="3">
        <v>21881</v>
      </c>
      <c r="D332" s="4">
        <v>51</v>
      </c>
      <c r="E332" s="15"/>
      <c r="F332" s="8"/>
      <c r="G332" s="8"/>
      <c r="H332" s="8"/>
      <c r="I332" s="5"/>
      <c r="J332" s="8"/>
      <c r="K332" s="15"/>
    </row>
    <row r="333" spans="1:11" ht="15.75" customHeight="1">
      <c r="A333" s="4" t="str">
        <f t="shared" si="4"/>
        <v>Nov</v>
      </c>
      <c r="B333" s="4">
        <v>332</v>
      </c>
      <c r="C333" s="3">
        <v>21882</v>
      </c>
      <c r="D333" s="4">
        <v>46</v>
      </c>
      <c r="E333" s="15"/>
      <c r="F333" s="8"/>
      <c r="G333" s="8"/>
      <c r="H333" s="8"/>
      <c r="I333" s="5"/>
      <c r="J333" s="8"/>
      <c r="K333" s="15"/>
    </row>
    <row r="334" spans="1:11" ht="15.75" customHeight="1">
      <c r="A334" s="4" t="str">
        <f t="shared" si="4"/>
        <v>Nov</v>
      </c>
      <c r="B334" s="4">
        <v>333</v>
      </c>
      <c r="C334" s="3">
        <v>21883</v>
      </c>
      <c r="D334" s="4">
        <v>44</v>
      </c>
      <c r="E334" s="15"/>
      <c r="F334" s="8"/>
      <c r="G334" s="8"/>
      <c r="H334" s="8"/>
      <c r="I334" s="5"/>
      <c r="J334" s="8"/>
      <c r="K334" s="15"/>
    </row>
    <row r="335" spans="1:11" ht="15.75" customHeight="1">
      <c r="A335" s="4" t="str">
        <f t="shared" si="4"/>
        <v>Nov</v>
      </c>
      <c r="B335" s="4">
        <v>334</v>
      </c>
      <c r="C335" s="3">
        <v>21884</v>
      </c>
      <c r="D335" s="4">
        <v>52</v>
      </c>
      <c r="E335" s="15"/>
      <c r="F335" s="8"/>
      <c r="G335" s="8"/>
      <c r="H335" s="8"/>
      <c r="I335" s="5"/>
      <c r="J335" s="8"/>
      <c r="K335" s="15"/>
    </row>
    <row r="336" spans="1:11" ht="15.75" customHeight="1">
      <c r="A336" s="4" t="str">
        <f t="shared" si="4"/>
        <v>Dec</v>
      </c>
      <c r="B336" s="4">
        <v>335</v>
      </c>
      <c r="C336" s="3">
        <v>21885</v>
      </c>
      <c r="D336" s="4">
        <v>45</v>
      </c>
      <c r="E336" s="15"/>
      <c r="F336" s="8"/>
      <c r="G336" s="8"/>
      <c r="H336" s="8"/>
      <c r="I336" s="5"/>
      <c r="J336" s="8"/>
      <c r="K336" s="15"/>
    </row>
    <row r="337" spans="1:11" ht="15.75" customHeight="1">
      <c r="A337" s="4" t="str">
        <f t="shared" si="4"/>
        <v>Dec</v>
      </c>
      <c r="B337" s="4">
        <v>336</v>
      </c>
      <c r="C337" s="3">
        <v>21886</v>
      </c>
      <c r="D337" s="4">
        <v>32</v>
      </c>
      <c r="E337" s="15"/>
      <c r="F337" s="8"/>
      <c r="G337" s="8"/>
      <c r="H337" s="8"/>
      <c r="I337" s="5"/>
      <c r="J337" s="8"/>
      <c r="K337" s="15"/>
    </row>
    <row r="338" spans="1:11" ht="15.75" customHeight="1">
      <c r="A338" s="4" t="str">
        <f t="shared" si="4"/>
        <v>Dec</v>
      </c>
      <c r="B338" s="4">
        <v>337</v>
      </c>
      <c r="C338" s="3">
        <v>21887</v>
      </c>
      <c r="D338" s="4">
        <v>46</v>
      </c>
      <c r="E338" s="15"/>
      <c r="F338" s="8"/>
      <c r="G338" s="8"/>
      <c r="H338" s="8"/>
      <c r="I338" s="5"/>
      <c r="J338" s="8"/>
      <c r="K338" s="15"/>
    </row>
    <row r="339" spans="1:11" ht="15.75" customHeight="1">
      <c r="A339" s="4" t="str">
        <f t="shared" si="4"/>
        <v>Dec</v>
      </c>
      <c r="B339" s="4">
        <v>338</v>
      </c>
      <c r="C339" s="3">
        <v>21888</v>
      </c>
      <c r="D339" s="4">
        <v>41</v>
      </c>
      <c r="E339" s="15"/>
      <c r="F339" s="8"/>
      <c r="G339" s="8"/>
      <c r="H339" s="8"/>
      <c r="I339" s="5"/>
      <c r="J339" s="8"/>
      <c r="K339" s="15"/>
    </row>
    <row r="340" spans="1:11" ht="15.75" customHeight="1">
      <c r="A340" s="4" t="str">
        <f t="shared" si="4"/>
        <v>Dec</v>
      </c>
      <c r="B340" s="4">
        <v>339</v>
      </c>
      <c r="C340" s="3">
        <v>21889</v>
      </c>
      <c r="D340" s="4">
        <v>34</v>
      </c>
      <c r="E340" s="15"/>
      <c r="F340" s="8"/>
      <c r="G340" s="8"/>
      <c r="H340" s="8"/>
      <c r="I340" s="5"/>
      <c r="J340" s="8"/>
      <c r="K340" s="15"/>
    </row>
    <row r="341" spans="1:11" ht="15.75" customHeight="1">
      <c r="A341" s="4" t="str">
        <f t="shared" si="4"/>
        <v>Dec</v>
      </c>
      <c r="B341" s="4">
        <v>340</v>
      </c>
      <c r="C341" s="3">
        <v>21890</v>
      </c>
      <c r="D341" s="4">
        <v>33</v>
      </c>
      <c r="E341" s="15"/>
      <c r="F341" s="8"/>
      <c r="G341" s="8"/>
      <c r="H341" s="8"/>
      <c r="I341" s="5"/>
      <c r="J341" s="8"/>
      <c r="K341" s="15"/>
    </row>
    <row r="342" spans="1:11" ht="15.75" customHeight="1">
      <c r="A342" s="4" t="str">
        <f t="shared" si="4"/>
        <v>Dec</v>
      </c>
      <c r="B342" s="4">
        <v>341</v>
      </c>
      <c r="C342" s="3">
        <v>21891</v>
      </c>
      <c r="D342" s="4">
        <v>36</v>
      </c>
      <c r="E342" s="15"/>
      <c r="F342" s="8"/>
      <c r="G342" s="8"/>
      <c r="H342" s="8"/>
      <c r="I342" s="5"/>
      <c r="J342" s="8"/>
      <c r="K342" s="15"/>
    </row>
    <row r="343" spans="1:11" ht="15.75" customHeight="1">
      <c r="A343" s="4" t="str">
        <f t="shared" si="4"/>
        <v>Dec</v>
      </c>
      <c r="B343" s="4">
        <v>342</v>
      </c>
      <c r="C343" s="3">
        <v>21892</v>
      </c>
      <c r="D343" s="4">
        <v>49</v>
      </c>
      <c r="E343" s="15"/>
      <c r="F343" s="8"/>
      <c r="G343" s="8"/>
      <c r="H343" s="8"/>
      <c r="I343" s="5"/>
      <c r="J343" s="8"/>
      <c r="K343" s="15"/>
    </row>
    <row r="344" spans="1:11" ht="15.75" customHeight="1">
      <c r="A344" s="4" t="str">
        <f t="shared" si="4"/>
        <v>Dec</v>
      </c>
      <c r="B344" s="4">
        <v>343</v>
      </c>
      <c r="C344" s="3">
        <v>21893</v>
      </c>
      <c r="D344" s="4">
        <v>43</v>
      </c>
      <c r="E344" s="15"/>
      <c r="F344" s="8"/>
      <c r="G344" s="8"/>
      <c r="H344" s="8"/>
      <c r="I344" s="5"/>
      <c r="J344" s="8"/>
      <c r="K344" s="15"/>
    </row>
    <row r="345" spans="1:11" ht="15.75" customHeight="1">
      <c r="A345" s="4" t="str">
        <f t="shared" si="4"/>
        <v>Dec</v>
      </c>
      <c r="B345" s="4">
        <v>344</v>
      </c>
      <c r="C345" s="3">
        <v>21894</v>
      </c>
      <c r="D345" s="4">
        <v>43</v>
      </c>
      <c r="E345" s="15"/>
      <c r="F345" s="8"/>
      <c r="G345" s="8"/>
      <c r="H345" s="8"/>
      <c r="I345" s="5"/>
      <c r="J345" s="8"/>
      <c r="K345" s="15"/>
    </row>
    <row r="346" spans="1:11" ht="15.75" customHeight="1">
      <c r="A346" s="4" t="str">
        <f t="shared" si="4"/>
        <v>Dec</v>
      </c>
      <c r="B346" s="4">
        <v>345</v>
      </c>
      <c r="C346" s="3">
        <v>21895</v>
      </c>
      <c r="D346" s="4">
        <v>34</v>
      </c>
      <c r="E346" s="15"/>
      <c r="F346" s="8"/>
      <c r="G346" s="8"/>
      <c r="H346" s="8"/>
      <c r="I346" s="5"/>
      <c r="J346" s="8"/>
      <c r="K346" s="15"/>
    </row>
    <row r="347" spans="1:11" ht="15.75" customHeight="1">
      <c r="A347" s="4" t="str">
        <f t="shared" si="4"/>
        <v>Dec</v>
      </c>
      <c r="B347" s="4">
        <v>346</v>
      </c>
      <c r="C347" s="3">
        <v>21896</v>
      </c>
      <c r="D347" s="4">
        <v>39</v>
      </c>
      <c r="E347" s="15"/>
      <c r="F347" s="8"/>
      <c r="G347" s="8"/>
      <c r="H347" s="8"/>
      <c r="I347" s="5"/>
      <c r="J347" s="8"/>
      <c r="K347" s="15"/>
    </row>
    <row r="348" spans="1:11" ht="15.75" customHeight="1">
      <c r="A348" s="4" t="str">
        <f t="shared" si="4"/>
        <v>Dec</v>
      </c>
      <c r="B348" s="4">
        <v>347</v>
      </c>
      <c r="C348" s="3">
        <v>21897</v>
      </c>
      <c r="D348" s="4">
        <v>35</v>
      </c>
      <c r="E348" s="15"/>
      <c r="F348" s="8"/>
      <c r="G348" s="8"/>
      <c r="H348" s="8"/>
      <c r="I348" s="5"/>
      <c r="J348" s="8"/>
      <c r="K348" s="15"/>
    </row>
    <row r="349" spans="1:11" ht="15.75" customHeight="1">
      <c r="A349" s="4" t="str">
        <f t="shared" si="4"/>
        <v>Dec</v>
      </c>
      <c r="B349" s="4">
        <v>348</v>
      </c>
      <c r="C349" s="3">
        <v>21898</v>
      </c>
      <c r="D349" s="4">
        <v>52</v>
      </c>
      <c r="E349" s="15"/>
      <c r="F349" s="8"/>
      <c r="G349" s="8"/>
      <c r="H349" s="8"/>
      <c r="I349" s="5"/>
      <c r="J349" s="8"/>
      <c r="K349" s="15"/>
    </row>
    <row r="350" spans="1:11" ht="15.75" customHeight="1">
      <c r="A350" s="4" t="str">
        <f t="shared" si="4"/>
        <v>Dec</v>
      </c>
      <c r="B350" s="4">
        <v>349</v>
      </c>
      <c r="C350" s="3">
        <v>21899</v>
      </c>
      <c r="D350" s="4">
        <v>47</v>
      </c>
      <c r="E350" s="15"/>
      <c r="F350" s="8"/>
      <c r="G350" s="8"/>
      <c r="H350" s="8"/>
      <c r="I350" s="5"/>
      <c r="J350" s="8"/>
      <c r="K350" s="15"/>
    </row>
    <row r="351" spans="1:11" ht="15.75" customHeight="1">
      <c r="A351" s="4" t="str">
        <f t="shared" si="4"/>
        <v>Dec</v>
      </c>
      <c r="B351" s="4">
        <v>350</v>
      </c>
      <c r="C351" s="3">
        <v>21900</v>
      </c>
      <c r="D351" s="4">
        <v>52</v>
      </c>
      <c r="E351" s="15"/>
      <c r="F351" s="8"/>
      <c r="G351" s="8"/>
      <c r="H351" s="8"/>
      <c r="I351" s="5"/>
      <c r="J351" s="8"/>
      <c r="K351" s="15"/>
    </row>
    <row r="352" spans="1:11" ht="15.75" customHeight="1">
      <c r="A352" s="4" t="str">
        <f t="shared" si="4"/>
        <v>Dec</v>
      </c>
      <c r="B352" s="4">
        <v>351</v>
      </c>
      <c r="C352" s="3">
        <v>21901</v>
      </c>
      <c r="D352" s="4">
        <v>39</v>
      </c>
      <c r="E352" s="15"/>
      <c r="F352" s="8"/>
      <c r="G352" s="8"/>
      <c r="H352" s="8"/>
      <c r="I352" s="5"/>
      <c r="J352" s="8"/>
      <c r="K352" s="15"/>
    </row>
    <row r="353" spans="1:11" ht="15.75" customHeight="1">
      <c r="A353" s="4" t="str">
        <f t="shared" si="4"/>
        <v>Dec</v>
      </c>
      <c r="B353" s="4">
        <v>352</v>
      </c>
      <c r="C353" s="3">
        <v>21902</v>
      </c>
      <c r="D353" s="4">
        <v>40</v>
      </c>
      <c r="E353" s="15"/>
      <c r="F353" s="8"/>
      <c r="G353" s="8"/>
      <c r="H353" s="8"/>
      <c r="I353" s="5"/>
      <c r="J353" s="8"/>
      <c r="K353" s="15"/>
    </row>
    <row r="354" spans="1:11" ht="15.75" customHeight="1">
      <c r="A354" s="4" t="str">
        <f t="shared" si="4"/>
        <v>Dec</v>
      </c>
      <c r="B354" s="4">
        <v>353</v>
      </c>
      <c r="C354" s="3">
        <v>21903</v>
      </c>
      <c r="D354" s="4">
        <v>42</v>
      </c>
      <c r="E354" s="15"/>
      <c r="F354" s="8"/>
      <c r="G354" s="8"/>
      <c r="H354" s="8"/>
      <c r="I354" s="5"/>
      <c r="J354" s="8"/>
      <c r="K354" s="15"/>
    </row>
    <row r="355" spans="1:11" ht="15.75" customHeight="1">
      <c r="A355" s="4" t="str">
        <f t="shared" si="4"/>
        <v>Dec</v>
      </c>
      <c r="B355" s="4">
        <v>354</v>
      </c>
      <c r="C355" s="3">
        <v>21904</v>
      </c>
      <c r="D355" s="4">
        <v>42</v>
      </c>
      <c r="E355" s="15"/>
      <c r="F355" s="8"/>
      <c r="G355" s="8"/>
      <c r="H355" s="8"/>
      <c r="I355" s="5"/>
      <c r="J355" s="8"/>
      <c r="K355" s="15"/>
    </row>
    <row r="356" spans="1:11" ht="15.75" customHeight="1">
      <c r="A356" s="4" t="str">
        <f t="shared" si="4"/>
        <v>Dec</v>
      </c>
      <c r="B356" s="4">
        <v>355</v>
      </c>
      <c r="C356" s="3">
        <v>21905</v>
      </c>
      <c r="D356" s="4">
        <v>53</v>
      </c>
      <c r="E356" s="15"/>
      <c r="F356" s="8"/>
      <c r="G356" s="8"/>
      <c r="H356" s="8"/>
      <c r="I356" s="5"/>
      <c r="J356" s="8"/>
      <c r="K356" s="15"/>
    </row>
    <row r="357" spans="1:11" ht="15.75" customHeight="1">
      <c r="A357" s="4" t="str">
        <f t="shared" si="4"/>
        <v>Dec</v>
      </c>
      <c r="B357" s="4">
        <v>356</v>
      </c>
      <c r="C357" s="3">
        <v>21906</v>
      </c>
      <c r="D357" s="4">
        <v>39</v>
      </c>
      <c r="E357" s="15"/>
      <c r="F357" s="8"/>
      <c r="G357" s="8"/>
      <c r="H357" s="8"/>
      <c r="I357" s="5"/>
      <c r="J357" s="8"/>
      <c r="K357" s="15"/>
    </row>
    <row r="358" spans="1:11" ht="15.75" customHeight="1">
      <c r="A358" s="4" t="str">
        <f t="shared" si="4"/>
        <v>Dec</v>
      </c>
      <c r="B358" s="4">
        <v>357</v>
      </c>
      <c r="C358" s="3">
        <v>21907</v>
      </c>
      <c r="D358" s="4">
        <v>40</v>
      </c>
      <c r="E358" s="15"/>
      <c r="F358" s="8"/>
      <c r="G358" s="8"/>
      <c r="H358" s="8"/>
      <c r="I358" s="5"/>
      <c r="J358" s="8"/>
      <c r="K358" s="15"/>
    </row>
    <row r="359" spans="1:11" ht="15.75" customHeight="1">
      <c r="A359" s="4" t="str">
        <f t="shared" si="4"/>
        <v>Dec</v>
      </c>
      <c r="B359" s="4">
        <v>358</v>
      </c>
      <c r="C359" s="3">
        <v>21908</v>
      </c>
      <c r="D359" s="4">
        <v>38</v>
      </c>
      <c r="E359" s="15"/>
      <c r="F359" s="8"/>
      <c r="G359" s="8"/>
      <c r="H359" s="8"/>
      <c r="I359" s="5"/>
      <c r="J359" s="8"/>
      <c r="K359" s="15"/>
    </row>
    <row r="360" spans="1:11" ht="15.75" customHeight="1">
      <c r="A360" s="4" t="str">
        <f t="shared" si="4"/>
        <v>Dec</v>
      </c>
      <c r="B360" s="4">
        <v>359</v>
      </c>
      <c r="C360" s="3">
        <v>21909</v>
      </c>
      <c r="D360" s="4">
        <v>44</v>
      </c>
      <c r="E360" s="15"/>
      <c r="F360" s="8"/>
      <c r="G360" s="8"/>
      <c r="H360" s="8"/>
      <c r="I360" s="5"/>
      <c r="J360" s="8"/>
      <c r="K360" s="15"/>
    </row>
    <row r="361" spans="1:11" ht="15.75" customHeight="1">
      <c r="A361" s="4" t="str">
        <f t="shared" si="4"/>
        <v>Dec</v>
      </c>
      <c r="B361" s="4">
        <v>360</v>
      </c>
      <c r="C361" s="3">
        <v>21910</v>
      </c>
      <c r="D361" s="4">
        <v>34</v>
      </c>
      <c r="E361" s="15"/>
      <c r="F361" s="8"/>
      <c r="G361" s="8"/>
      <c r="H361" s="8"/>
      <c r="I361" s="5"/>
      <c r="J361" s="8"/>
      <c r="K361" s="15"/>
    </row>
    <row r="362" spans="1:11" ht="15.75" customHeight="1">
      <c r="A362" s="4" t="str">
        <f t="shared" si="4"/>
        <v>Dec</v>
      </c>
      <c r="B362" s="4">
        <v>361</v>
      </c>
      <c r="C362" s="3">
        <v>21911</v>
      </c>
      <c r="D362" s="4">
        <v>37</v>
      </c>
      <c r="E362" s="15"/>
      <c r="F362" s="8"/>
      <c r="G362" s="8"/>
      <c r="H362" s="8"/>
      <c r="I362" s="5"/>
      <c r="J362" s="8"/>
      <c r="K362" s="15"/>
    </row>
    <row r="363" spans="1:11" ht="15.75" customHeight="1">
      <c r="A363" s="4" t="str">
        <f t="shared" si="4"/>
        <v>Dec</v>
      </c>
      <c r="B363" s="4">
        <v>362</v>
      </c>
      <c r="C363" s="3">
        <v>21912</v>
      </c>
      <c r="D363" s="4">
        <v>52</v>
      </c>
      <c r="E363" s="15"/>
      <c r="F363" s="8"/>
      <c r="G363" s="8"/>
      <c r="H363" s="8"/>
      <c r="I363" s="5"/>
      <c r="J363" s="8"/>
      <c r="K363" s="15"/>
    </row>
    <row r="364" spans="1:11" ht="15.75" customHeight="1">
      <c r="A364" s="4" t="str">
        <f t="shared" si="4"/>
        <v>Dec</v>
      </c>
      <c r="B364" s="4">
        <v>363</v>
      </c>
      <c r="C364" s="3">
        <v>21913</v>
      </c>
      <c r="D364" s="4">
        <v>48</v>
      </c>
      <c r="E364" s="15"/>
      <c r="F364" s="8"/>
      <c r="G364" s="8"/>
      <c r="H364" s="8"/>
      <c r="I364" s="5"/>
      <c r="J364" s="8"/>
      <c r="K364" s="15"/>
    </row>
    <row r="365" spans="1:11" ht="15.75" customHeight="1">
      <c r="A365" s="4" t="str">
        <f t="shared" si="4"/>
        <v>Dec</v>
      </c>
      <c r="B365" s="4">
        <v>364</v>
      </c>
      <c r="C365" s="3">
        <v>21914</v>
      </c>
      <c r="D365" s="4">
        <v>55</v>
      </c>
      <c r="E365" s="15"/>
      <c r="F365" s="8"/>
      <c r="G365" s="8"/>
      <c r="H365" s="8"/>
      <c r="I365" s="5"/>
      <c r="J365" s="8"/>
      <c r="K365" s="15"/>
    </row>
    <row r="366" spans="1:11" ht="15.75" customHeight="1">
      <c r="A366" s="4" t="str">
        <f t="shared" si="4"/>
        <v>Dec</v>
      </c>
      <c r="B366" s="4">
        <v>365</v>
      </c>
      <c r="C366" s="3">
        <v>21915</v>
      </c>
      <c r="D366" s="4">
        <v>50</v>
      </c>
      <c r="E366" s="15"/>
      <c r="F366" s="8"/>
      <c r="G366" s="8"/>
      <c r="H366" s="8"/>
      <c r="I366" s="5"/>
      <c r="J366" s="8"/>
      <c r="K366" s="15"/>
    </row>
    <row r="367" spans="1:11" ht="15.75" customHeight="1"/>
    <row r="368" spans="1:11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K1000" xr:uid="{00000000-0001-0000-0400-000000000000}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Naive</vt:lpstr>
      <vt:lpstr>Moving Average</vt:lpstr>
      <vt:lpstr>exponential smooth analysis</vt:lpstr>
      <vt:lpstr>Exponential smoothing </vt:lpstr>
      <vt:lpstr>Linear Forecast</vt:lpstr>
      <vt:lpstr>SLR</vt:lpstr>
      <vt:lpstr>'Linear Forecast'!solver_opt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Abdulmumin Salis</cp:lastModifiedBy>
  <dcterms:modified xsi:type="dcterms:W3CDTF">2026-03-05T09:45:36Z</dcterms:modified>
</cp:coreProperties>
</file>